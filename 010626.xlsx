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BO_KW1\"/>
    </mc:Choice>
  </mc:AlternateContent>
  <xr:revisionPtr revIDLastSave="0" documentId="13_ncr:1_{830C1F55-2ED5-4975-9E03-B955D31BE7B4}" xr6:coauthVersionLast="47" xr6:coauthVersionMax="47" xr10:uidLastSave="{00000000-0000-0000-0000-000000000000}"/>
  <bookViews>
    <workbookView xWindow="-108" yWindow="-108" windowWidth="23256" windowHeight="12456" xr2:uid="{2102BDE5-77BA-4B60-A585-0EB4E0534F29}"/>
  </bookViews>
  <sheets>
    <sheet name="Zad1" sheetId="1" r:id="rId1"/>
    <sheet name="Zad2" sheetId="2" r:id="rId2"/>
  </sheets>
  <definedNames>
    <definedName name="solver_adj" localSheetId="0" hidden="1">Zad1!$M$3:$O$5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Zad1!$M$3:$O$5</definedName>
    <definedName name="solver_lhs2" localSheetId="0" hidden="1">Zad1!$T$5:$T$7</definedName>
    <definedName name="solver_lhs3" localSheetId="0" hidden="1">Zad1!$T$8:$T$10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Zad1!$T$4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hs1" localSheetId="0" hidden="1">0</definedName>
    <definedName name="solver_rhs2" localSheetId="0" hidden="1">Zad1!$N$14:$N$16</definedName>
    <definedName name="solver_rhs3" localSheetId="0" hidden="1">Zad1!$N$19:$N$21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0" i="1" l="1"/>
  <c r="T9" i="1"/>
  <c r="T8" i="1"/>
  <c r="T7" i="1"/>
  <c r="T6" i="1"/>
  <c r="T5" i="1"/>
  <c r="T4" i="1"/>
  <c r="S65" i="1"/>
  <c r="T65" i="1"/>
  <c r="R65" i="1"/>
  <c r="S64" i="1"/>
  <c r="T64" i="1"/>
  <c r="R64" i="1"/>
  <c r="S63" i="1"/>
  <c r="T63" i="1"/>
  <c r="R63" i="1"/>
  <c r="S53" i="1"/>
  <c r="S51" i="1"/>
  <c r="T51" i="1"/>
  <c r="S49" i="1"/>
  <c r="T44" i="1"/>
  <c r="U44" i="1"/>
  <c r="S44" i="1"/>
  <c r="T43" i="1"/>
  <c r="U43" i="1"/>
  <c r="S43" i="1"/>
  <c r="T42" i="1"/>
  <c r="U42" i="1"/>
  <c r="S42" i="1"/>
  <c r="S39" i="1"/>
  <c r="M55" i="1"/>
  <c r="O53" i="1"/>
  <c r="O52" i="1"/>
  <c r="N52" i="1"/>
  <c r="O47" i="1"/>
  <c r="N47" i="1"/>
  <c r="O48" i="1"/>
  <c r="N42" i="1"/>
  <c r="O42" i="1"/>
  <c r="M42" i="1"/>
  <c r="N41" i="1"/>
  <c r="O41" i="1"/>
  <c r="M41" i="1"/>
  <c r="O40" i="1"/>
  <c r="N40" i="1"/>
  <c r="M40" i="1"/>
  <c r="F43" i="1"/>
  <c r="G41" i="1"/>
  <c r="G39" i="1"/>
  <c r="H38" i="1"/>
  <c r="H39" i="1" s="1"/>
  <c r="H37" i="1"/>
  <c r="F39" i="1"/>
  <c r="H36" i="1"/>
  <c r="E39" i="1"/>
  <c r="N22" i="1"/>
  <c r="N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prac608</author>
  </authors>
  <commentList>
    <comment ref="N47" authorId="0" shapeId="0" xr:uid="{F5E8CA4B-94A0-4255-935A-527573B811FC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ujemny</t>
        </r>
      </text>
    </comment>
    <comment ref="O47" authorId="0" shapeId="0" xr:uid="{4C7184B4-6F7B-46E3-9A52-9D91C1BC04B5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dodatni</t>
        </r>
      </text>
    </comment>
    <comment ref="N48" authorId="0" shapeId="0" xr:uid="{F1E17FC7-AA9A-4A37-8CE3-4E9F8A22798B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dodatni</t>
        </r>
      </text>
    </comment>
    <comment ref="O48" authorId="0" shapeId="0" xr:uid="{4DECBEEF-027B-4342-98D6-305657E116E2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ujemny/udejmujemy najmniejsza wartosc</t>
        </r>
      </text>
    </comment>
    <comment ref="S49" authorId="0" shapeId="0" xr:uid="{6AE80928-02D2-42E6-9702-77DE41AF8F68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ujemny</t>
        </r>
      </text>
    </comment>
    <comment ref="T49" authorId="0" shapeId="0" xr:uid="{A4035751-3455-4786-B24D-831B1D3B9F48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dodatni</t>
        </r>
      </text>
    </comment>
    <comment ref="S51" authorId="0" shapeId="0" xr:uid="{F003C3C9-1522-4A25-90C0-79B96084E572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+</t>
        </r>
      </text>
    </comment>
    <comment ref="T51" authorId="0" shapeId="0" xr:uid="{CE9B57AE-1387-4797-8EB8-E4AEE4E8150C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-</t>
        </r>
      </text>
    </comment>
    <comment ref="N52" authorId="0" shapeId="0" xr:uid="{68BC3AFD-C638-4C00-8FF7-D59D2B7A77B1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ujemny</t>
        </r>
      </text>
    </comment>
    <comment ref="O52" authorId="0" shapeId="0" xr:uid="{6F93275E-0928-4997-BB65-E127097AC5AC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dodatni</t>
        </r>
      </text>
    </comment>
    <comment ref="N53" authorId="0" shapeId="0" xr:uid="{B856A77E-7D0E-4119-BE89-49044AEF9F62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dodatni</t>
        </r>
      </text>
    </comment>
    <comment ref="O53" authorId="0" shapeId="0" xr:uid="{DA323520-E503-426C-A51A-0F4EC8C863B5}">
      <text>
        <r>
          <rPr>
            <b/>
            <sz val="9"/>
            <color indexed="81"/>
            <rFont val="Tahoma"/>
            <family val="2"/>
            <charset val="238"/>
          </rPr>
          <t>prac608:</t>
        </r>
        <r>
          <rPr>
            <sz val="9"/>
            <color indexed="81"/>
            <rFont val="Tahoma"/>
            <family val="2"/>
            <charset val="238"/>
          </rPr>
          <t xml:space="preserve">
podcykl ujemny/udejmujemy najmniejsza wartosc</t>
        </r>
      </text>
    </comment>
  </commentList>
</comments>
</file>

<file path=xl/sharedStrings.xml><?xml version="1.0" encoding="utf-8"?>
<sst xmlns="http://schemas.openxmlformats.org/spreadsheetml/2006/main" count="80" uniqueCount="68">
  <si>
    <t>Fc:</t>
  </si>
  <si>
    <t>xij=</t>
  </si>
  <si>
    <t>x13</t>
  </si>
  <si>
    <t>x21</t>
  </si>
  <si>
    <t>x31</t>
  </si>
  <si>
    <t>x32</t>
  </si>
  <si>
    <t>Macierz kosztów jednostkowych</t>
  </si>
  <si>
    <t>Podaż</t>
  </si>
  <si>
    <t>a1</t>
  </si>
  <si>
    <t>a2</t>
  </si>
  <si>
    <t>a3</t>
  </si>
  <si>
    <t>suma</t>
  </si>
  <si>
    <t>Popyt</t>
  </si>
  <si>
    <t>b1</t>
  </si>
  <si>
    <t>b2</t>
  </si>
  <si>
    <t>b3</t>
  </si>
  <si>
    <t xml:space="preserve">zagadnienie zbilnasowane </t>
  </si>
  <si>
    <t>suma popytu=sumie podaży</t>
  </si>
  <si>
    <t>Cij*Xij~min</t>
  </si>
  <si>
    <t>FC=</t>
  </si>
  <si>
    <t>3x11+5x12+7x13+12x21+10x22+9x23+13x31+3x32+9x33</t>
  </si>
  <si>
    <t>WOD1:</t>
  </si>
  <si>
    <t>x11+x12+x13=50</t>
  </si>
  <si>
    <t>x21+x22+x23=70</t>
  </si>
  <si>
    <t>WOD3:</t>
  </si>
  <si>
    <t>x31+x32+x33=30</t>
  </si>
  <si>
    <t>WOD2:</t>
  </si>
  <si>
    <t>WOO1:</t>
  </si>
  <si>
    <t>x11+x21+x31=20</t>
  </si>
  <si>
    <t>WOO2:</t>
  </si>
  <si>
    <t>x12+x22+x32=40</t>
  </si>
  <si>
    <t>WOO3:</t>
  </si>
  <si>
    <t>x13+x23+x33=90</t>
  </si>
  <si>
    <t>xij&gt;=0</t>
  </si>
  <si>
    <t>Rozwiązanie metodą kąta północno-zachodniego</t>
  </si>
  <si>
    <t>bi</t>
  </si>
  <si>
    <t>ai</t>
  </si>
  <si>
    <t>suma wpisnanch liczb=</t>
  </si>
  <si>
    <t>Wartośc funkcji celu=</t>
  </si>
  <si>
    <t>METODA POTENCJAŁÓW</t>
  </si>
  <si>
    <t>ui:</t>
  </si>
  <si>
    <t>vj:</t>
  </si>
  <si>
    <t>z warunku cij+ui+vj=0</t>
  </si>
  <si>
    <t>potencjał dostawcy</t>
  </si>
  <si>
    <t>potencjał odbiorcy</t>
  </si>
  <si>
    <t>przymuję się zazwyczaj ten potencjał za równy 0</t>
  </si>
  <si>
    <t>Macierz kosztów rónoważnych dla 1 rozwiązania c'1</t>
  </si>
  <si>
    <t>C'1=</t>
  </si>
  <si>
    <t>nie może być ujemnej żeby było optymlane</t>
  </si>
  <si>
    <t>X'1=</t>
  </si>
  <si>
    <t>nowe rozwiązanie bazowe stanowią węzły</t>
  </si>
  <si>
    <t>X'2=</t>
  </si>
  <si>
    <t>Fc=</t>
  </si>
  <si>
    <t>Macierz kosztów równoważnych dla 2 rozwiązania</t>
  </si>
  <si>
    <t>C'2=</t>
  </si>
  <si>
    <t>vj=</t>
  </si>
  <si>
    <t>ui</t>
  </si>
  <si>
    <t>C=</t>
  </si>
  <si>
    <t>ujemna więc nie jest to rozwiązanie optymalne</t>
  </si>
  <si>
    <t>vi</t>
  </si>
  <si>
    <t>c=</t>
  </si>
  <si>
    <t>C'3=</t>
  </si>
  <si>
    <t>Rozwiązanie optymlane</t>
  </si>
  <si>
    <t>brak liczb ujemnych wskazuje ze to rozwiązanie jest optymalne</t>
  </si>
  <si>
    <t>Solver</t>
  </si>
  <si>
    <t>WOD:</t>
  </si>
  <si>
    <t>WOO:</t>
  </si>
  <si>
    <t>simpleks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</si>
</sst>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1" fillId="0" borderId="0" xfId="0" applyFont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121920</xdr:rowOff>
    </xdr:from>
    <xdr:to>
      <xdr:col>9</xdr:col>
      <xdr:colOff>548640</xdr:colOff>
      <xdr:row>20</xdr:row>
      <xdr:rowOff>176400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C48ABCB3-BAC2-4A94-B7AB-8480F3340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121920"/>
          <a:ext cx="5715000" cy="3712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</xdr:row>
      <xdr:rowOff>0</xdr:rowOff>
    </xdr:from>
    <xdr:to>
      <xdr:col>7</xdr:col>
      <xdr:colOff>378744</xdr:colOff>
      <xdr:row>10</xdr:row>
      <xdr:rowOff>76200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B6EA4EA-DB49-4638-8774-348FC6218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182880"/>
          <a:ext cx="4036345" cy="172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A6BE-B8C1-4D9A-9079-50462266708A}">
  <dimension ref="D3:V68"/>
  <sheetViews>
    <sheetView tabSelected="1" topLeftCell="B1" workbookViewId="0">
      <selection activeCell="T18" sqref="T18"/>
    </sheetView>
  </sheetViews>
  <sheetFormatPr defaultRowHeight="14.4" x14ac:dyDescent="0.3"/>
  <sheetData>
    <row r="3" spans="12:20" x14ac:dyDescent="0.3">
      <c r="M3" s="11">
        <v>20</v>
      </c>
      <c r="N3" s="11">
        <v>10</v>
      </c>
      <c r="O3" s="11">
        <v>20</v>
      </c>
      <c r="R3" s="4" t="s">
        <v>64</v>
      </c>
      <c r="S3" t="s">
        <v>67</v>
      </c>
    </row>
    <row r="4" spans="12:20" x14ac:dyDescent="0.3">
      <c r="L4" t="s">
        <v>1</v>
      </c>
      <c r="M4" s="11">
        <v>0</v>
      </c>
      <c r="N4" s="11">
        <v>0</v>
      </c>
      <c r="O4" s="11">
        <v>70</v>
      </c>
      <c r="S4" t="s">
        <v>0</v>
      </c>
      <c r="T4">
        <f>SUMPRODUCT(M3:O5,L10:N12)</f>
        <v>970</v>
      </c>
    </row>
    <row r="5" spans="12:20" x14ac:dyDescent="0.3">
      <c r="M5" s="11">
        <v>0</v>
      </c>
      <c r="N5" s="11">
        <v>30</v>
      </c>
      <c r="O5" s="11">
        <v>0</v>
      </c>
      <c r="S5" t="s">
        <v>65</v>
      </c>
      <c r="T5">
        <f>SUM(M3:O3)</f>
        <v>50</v>
      </c>
    </row>
    <row r="6" spans="12:20" x14ac:dyDescent="0.3">
      <c r="S6">
        <v>2</v>
      </c>
      <c r="T6">
        <f>SUM(M4:O4)</f>
        <v>70</v>
      </c>
    </row>
    <row r="7" spans="12:20" x14ac:dyDescent="0.3">
      <c r="S7">
        <v>3</v>
      </c>
      <c r="T7">
        <f>SUM(M5:O5)</f>
        <v>30</v>
      </c>
    </row>
    <row r="8" spans="12:20" x14ac:dyDescent="0.3">
      <c r="L8" t="s">
        <v>6</v>
      </c>
      <c r="S8" t="s">
        <v>66</v>
      </c>
      <c r="T8">
        <f>SUM(M3:M5)</f>
        <v>20</v>
      </c>
    </row>
    <row r="9" spans="12:20" x14ac:dyDescent="0.3">
      <c r="S9">
        <v>2</v>
      </c>
      <c r="T9">
        <f>SUM(N3:N5)</f>
        <v>40</v>
      </c>
    </row>
    <row r="10" spans="12:20" x14ac:dyDescent="0.3">
      <c r="L10" s="12">
        <v>3</v>
      </c>
      <c r="M10" s="12">
        <v>5</v>
      </c>
      <c r="N10" s="12">
        <v>7</v>
      </c>
      <c r="S10">
        <v>3</v>
      </c>
      <c r="T10">
        <f>SUM(O3:O5)</f>
        <v>90</v>
      </c>
    </row>
    <row r="11" spans="12:20" x14ac:dyDescent="0.3">
      <c r="L11" s="12">
        <v>12</v>
      </c>
      <c r="M11" s="12">
        <v>10</v>
      </c>
      <c r="N11" s="12">
        <v>9</v>
      </c>
    </row>
    <row r="12" spans="12:20" x14ac:dyDescent="0.3">
      <c r="L12" s="12">
        <v>13</v>
      </c>
      <c r="M12" s="12">
        <v>3</v>
      </c>
      <c r="N12" s="12">
        <v>9</v>
      </c>
    </row>
    <row r="14" spans="12:20" x14ac:dyDescent="0.3">
      <c r="L14" t="s">
        <v>7</v>
      </c>
      <c r="M14" t="s">
        <v>8</v>
      </c>
      <c r="N14">
        <v>50</v>
      </c>
    </row>
    <row r="15" spans="12:20" x14ac:dyDescent="0.3">
      <c r="M15" t="s">
        <v>9</v>
      </c>
      <c r="N15">
        <v>70</v>
      </c>
    </row>
    <row r="16" spans="12:20" x14ac:dyDescent="0.3">
      <c r="M16" t="s">
        <v>10</v>
      </c>
      <c r="N16">
        <v>30</v>
      </c>
    </row>
    <row r="17" spans="4:16" x14ac:dyDescent="0.3">
      <c r="M17" t="s">
        <v>11</v>
      </c>
      <c r="N17">
        <f>SUM(N14:N16)</f>
        <v>150</v>
      </c>
    </row>
    <row r="18" spans="4:16" x14ac:dyDescent="0.3">
      <c r="P18" t="s">
        <v>16</v>
      </c>
    </row>
    <row r="19" spans="4:16" x14ac:dyDescent="0.3">
      <c r="L19" t="s">
        <v>12</v>
      </c>
      <c r="M19" t="s">
        <v>13</v>
      </c>
      <c r="N19">
        <v>20</v>
      </c>
      <c r="P19" t="s">
        <v>17</v>
      </c>
    </row>
    <row r="20" spans="4:16" x14ac:dyDescent="0.3">
      <c r="M20" t="s">
        <v>14</v>
      </c>
      <c r="N20">
        <v>40</v>
      </c>
    </row>
    <row r="21" spans="4:16" x14ac:dyDescent="0.3">
      <c r="M21" t="s">
        <v>15</v>
      </c>
      <c r="N21">
        <v>90</v>
      </c>
    </row>
    <row r="22" spans="4:16" x14ac:dyDescent="0.3">
      <c r="M22" t="s">
        <v>11</v>
      </c>
      <c r="N22">
        <f>SUM(N19:N21)</f>
        <v>150</v>
      </c>
    </row>
    <row r="23" spans="4:16" x14ac:dyDescent="0.3">
      <c r="D23" t="s">
        <v>0</v>
      </c>
      <c r="E23" t="s">
        <v>18</v>
      </c>
    </row>
    <row r="24" spans="4:16" x14ac:dyDescent="0.3">
      <c r="D24" t="s">
        <v>19</v>
      </c>
      <c r="E24" t="s">
        <v>20</v>
      </c>
    </row>
    <row r="26" spans="4:16" x14ac:dyDescent="0.3">
      <c r="D26" t="s">
        <v>21</v>
      </c>
      <c r="E26" t="s">
        <v>22</v>
      </c>
      <c r="G26" t="s">
        <v>27</v>
      </c>
      <c r="H26" t="s">
        <v>28</v>
      </c>
      <c r="L26" s="4" t="s">
        <v>39</v>
      </c>
    </row>
    <row r="27" spans="4:16" x14ac:dyDescent="0.3">
      <c r="D27" t="s">
        <v>26</v>
      </c>
      <c r="E27" t="s">
        <v>23</v>
      </c>
      <c r="G27" t="s">
        <v>29</v>
      </c>
      <c r="H27" t="s">
        <v>30</v>
      </c>
    </row>
    <row r="28" spans="4:16" x14ac:dyDescent="0.3">
      <c r="D28" t="s">
        <v>24</v>
      </c>
      <c r="E28" t="s">
        <v>25</v>
      </c>
      <c r="G28" t="s">
        <v>31</v>
      </c>
      <c r="H28" t="s">
        <v>32</v>
      </c>
    </row>
    <row r="29" spans="4:16" x14ac:dyDescent="0.3">
      <c r="O29" t="s">
        <v>43</v>
      </c>
    </row>
    <row r="30" spans="4:16" x14ac:dyDescent="0.3">
      <c r="D30" t="s">
        <v>33</v>
      </c>
      <c r="O30" t="s">
        <v>40</v>
      </c>
    </row>
    <row r="31" spans="4:16" x14ac:dyDescent="0.3">
      <c r="L31">
        <v>3</v>
      </c>
      <c r="M31">
        <v>5</v>
      </c>
      <c r="N31">
        <v>7</v>
      </c>
      <c r="O31">
        <v>0</v>
      </c>
      <c r="P31" t="s">
        <v>45</v>
      </c>
    </row>
    <row r="32" spans="4:16" x14ac:dyDescent="0.3">
      <c r="D32" s="4" t="s">
        <v>34</v>
      </c>
      <c r="L32">
        <v>12</v>
      </c>
      <c r="M32">
        <v>10</v>
      </c>
      <c r="N32">
        <v>9</v>
      </c>
      <c r="O32" s="5">
        <v>-5</v>
      </c>
    </row>
    <row r="33" spans="4:22" x14ac:dyDescent="0.3">
      <c r="L33">
        <v>13</v>
      </c>
      <c r="M33">
        <v>3</v>
      </c>
      <c r="N33">
        <v>9</v>
      </c>
      <c r="O33" s="5">
        <v>-5</v>
      </c>
    </row>
    <row r="34" spans="4:22" x14ac:dyDescent="0.3">
      <c r="K34" t="s">
        <v>41</v>
      </c>
      <c r="L34" s="5">
        <v>-3</v>
      </c>
      <c r="M34" s="5">
        <v>-5</v>
      </c>
      <c r="N34" s="5">
        <v>-4</v>
      </c>
      <c r="R34" t="s">
        <v>53</v>
      </c>
    </row>
    <row r="35" spans="4:22" x14ac:dyDescent="0.3">
      <c r="H35" t="s">
        <v>36</v>
      </c>
      <c r="J35" t="s">
        <v>44</v>
      </c>
      <c r="V35" t="s">
        <v>56</v>
      </c>
    </row>
    <row r="36" spans="4:22" x14ac:dyDescent="0.3">
      <c r="E36" s="1">
        <v>20</v>
      </c>
      <c r="F36" s="1">
        <v>30</v>
      </c>
      <c r="G36" t="s">
        <v>2</v>
      </c>
      <c r="H36">
        <f>30-30</f>
        <v>0</v>
      </c>
      <c r="L36" t="s">
        <v>42</v>
      </c>
      <c r="R36" t="s">
        <v>57</v>
      </c>
      <c r="S36" s="9">
        <v>3</v>
      </c>
      <c r="T36" s="9">
        <v>5</v>
      </c>
      <c r="U36">
        <v>7</v>
      </c>
      <c r="V36">
        <v>0</v>
      </c>
    </row>
    <row r="37" spans="4:22" x14ac:dyDescent="0.3">
      <c r="E37" t="s">
        <v>3</v>
      </c>
      <c r="F37" s="1">
        <v>10</v>
      </c>
      <c r="G37" s="1">
        <v>60</v>
      </c>
      <c r="H37">
        <f>60-G37</f>
        <v>0</v>
      </c>
      <c r="S37">
        <v>12</v>
      </c>
      <c r="T37">
        <v>10</v>
      </c>
      <c r="U37" s="9">
        <v>9</v>
      </c>
      <c r="V37">
        <v>2</v>
      </c>
    </row>
    <row r="38" spans="4:22" x14ac:dyDescent="0.3">
      <c r="E38" t="s">
        <v>4</v>
      </c>
      <c r="F38" t="s">
        <v>5</v>
      </c>
      <c r="G38" s="1">
        <v>30</v>
      </c>
      <c r="H38">
        <f>30-G38</f>
        <v>0</v>
      </c>
      <c r="L38" t="s">
        <v>46</v>
      </c>
      <c r="S38">
        <v>13</v>
      </c>
      <c r="T38" s="9">
        <v>3</v>
      </c>
      <c r="U38" s="9">
        <v>9</v>
      </c>
      <c r="V38">
        <v>2</v>
      </c>
    </row>
    <row r="39" spans="4:22" x14ac:dyDescent="0.3">
      <c r="D39" t="s">
        <v>35</v>
      </c>
      <c r="E39">
        <f>E36-E36</f>
        <v>0</v>
      </c>
      <c r="F39">
        <f>10-10</f>
        <v>0</v>
      </c>
      <c r="G39">
        <f>30-G38</f>
        <v>0</v>
      </c>
      <c r="H39">
        <f>SUM(H36:H38)</f>
        <v>0</v>
      </c>
      <c r="R39" t="s">
        <v>55</v>
      </c>
      <c r="S39">
        <f>-3</f>
        <v>-3</v>
      </c>
      <c r="T39">
        <v>-5</v>
      </c>
      <c r="U39">
        <v>-11</v>
      </c>
    </row>
    <row r="40" spans="4:22" x14ac:dyDescent="0.3">
      <c r="L40" t="s">
        <v>47</v>
      </c>
      <c r="M40" s="6">
        <f>L31+$O$31+L34</f>
        <v>0</v>
      </c>
      <c r="N40" s="6">
        <f>M31+$O$31+M34</f>
        <v>0</v>
      </c>
      <c r="O40">
        <f>N31+$O$31+N34</f>
        <v>3</v>
      </c>
    </row>
    <row r="41" spans="4:22" x14ac:dyDescent="0.3">
      <c r="D41" t="s">
        <v>37</v>
      </c>
      <c r="G41">
        <f>20+30+10+60+30</f>
        <v>150</v>
      </c>
      <c r="M41">
        <f>L32+L34+$O$32</f>
        <v>4</v>
      </c>
      <c r="N41" s="6">
        <f t="shared" ref="N41:O41" si="0">M32+M34+$O$32</f>
        <v>0</v>
      </c>
      <c r="O41" s="6">
        <f t="shared" si="0"/>
        <v>0</v>
      </c>
    </row>
    <row r="42" spans="4:22" x14ac:dyDescent="0.3">
      <c r="M42">
        <f>L33+L34+$O$33</f>
        <v>5</v>
      </c>
      <c r="N42">
        <f t="shared" ref="N42:O42" si="1">M33+M34+$O$33</f>
        <v>-7</v>
      </c>
      <c r="O42" s="6">
        <f t="shared" si="1"/>
        <v>0</v>
      </c>
      <c r="R42" t="s">
        <v>54</v>
      </c>
      <c r="S42" s="9">
        <f>S36+S39+$V$36</f>
        <v>0</v>
      </c>
      <c r="T42" s="9">
        <f t="shared" ref="T42:U42" si="2">T36+T39+$V$36</f>
        <v>0</v>
      </c>
      <c r="U42">
        <f t="shared" si="2"/>
        <v>-4</v>
      </c>
    </row>
    <row r="43" spans="4:22" x14ac:dyDescent="0.3">
      <c r="D43" t="s">
        <v>38</v>
      </c>
      <c r="F43" s="3">
        <f>SUMPRODUCT(E36:G38,L10:N12)</f>
        <v>1120</v>
      </c>
      <c r="S43">
        <f>S37+S39+$V$37</f>
        <v>11</v>
      </c>
      <c r="T43">
        <f t="shared" ref="T43:U43" si="3">T37+T39+$V$37</f>
        <v>7</v>
      </c>
      <c r="U43" s="9">
        <f t="shared" si="3"/>
        <v>0</v>
      </c>
    </row>
    <row r="44" spans="4:22" x14ac:dyDescent="0.3">
      <c r="L44" t="s">
        <v>48</v>
      </c>
      <c r="S44">
        <f>S38+S39+$V$38</f>
        <v>12</v>
      </c>
      <c r="T44" s="9">
        <f t="shared" ref="T44:U44" si="4">T38+T39+$V$38</f>
        <v>0</v>
      </c>
      <c r="U44" s="9">
        <f t="shared" si="4"/>
        <v>0</v>
      </c>
    </row>
    <row r="46" spans="4:22" x14ac:dyDescent="0.3">
      <c r="L46" t="s">
        <v>49</v>
      </c>
      <c r="M46" s="8">
        <v>20</v>
      </c>
      <c r="N46" s="8">
        <v>30</v>
      </c>
      <c r="O46" s="7" t="s">
        <v>2</v>
      </c>
      <c r="S46" t="s">
        <v>58</v>
      </c>
    </row>
    <row r="47" spans="4:22" x14ac:dyDescent="0.3">
      <c r="M47" s="7" t="s">
        <v>3</v>
      </c>
      <c r="N47" s="8">
        <f>10-10</f>
        <v>0</v>
      </c>
      <c r="O47" s="8">
        <f>60+10</f>
        <v>70</v>
      </c>
    </row>
    <row r="48" spans="4:22" x14ac:dyDescent="0.3">
      <c r="M48" s="7" t="s">
        <v>4</v>
      </c>
      <c r="N48" s="7">
        <v>10</v>
      </c>
      <c r="O48" s="8">
        <f>30-10</f>
        <v>20</v>
      </c>
    </row>
    <row r="49" spans="12:21" x14ac:dyDescent="0.3">
      <c r="R49" s="2">
        <v>20</v>
      </c>
      <c r="S49" s="2">
        <f>30-20</f>
        <v>10</v>
      </c>
      <c r="T49" s="2">
        <v>20</v>
      </c>
    </row>
    <row r="50" spans="12:21" x14ac:dyDescent="0.3">
      <c r="L50" t="s">
        <v>50</v>
      </c>
      <c r="R50" t="s">
        <v>3</v>
      </c>
      <c r="S50">
        <v>0</v>
      </c>
      <c r="T50" s="2">
        <v>70</v>
      </c>
    </row>
    <row r="51" spans="12:21" x14ac:dyDescent="0.3">
      <c r="L51" t="s">
        <v>51</v>
      </c>
      <c r="M51" s="8">
        <v>20</v>
      </c>
      <c r="N51" s="8">
        <v>30</v>
      </c>
      <c r="O51" s="7" t="s">
        <v>2</v>
      </c>
      <c r="R51" t="s">
        <v>4</v>
      </c>
      <c r="S51" s="2">
        <f>10+20</f>
        <v>30</v>
      </c>
      <c r="T51" s="10">
        <f>20-20</f>
        <v>0</v>
      </c>
    </row>
    <row r="52" spans="12:21" x14ac:dyDescent="0.3">
      <c r="M52" s="7" t="s">
        <v>3</v>
      </c>
      <c r="N52" s="7">
        <f>10-10</f>
        <v>0</v>
      </c>
      <c r="O52" s="8">
        <f>60+10</f>
        <v>70</v>
      </c>
    </row>
    <row r="53" spans="12:21" x14ac:dyDescent="0.3">
      <c r="M53" s="7" t="s">
        <v>4</v>
      </c>
      <c r="N53" s="8">
        <v>10</v>
      </c>
      <c r="O53" s="8">
        <f>30-10</f>
        <v>20</v>
      </c>
      <c r="R53" s="3" t="s">
        <v>52</v>
      </c>
      <c r="S53" s="3">
        <f>SUMPRODUCT(R49:T51,L10:N12)</f>
        <v>970</v>
      </c>
    </row>
    <row r="55" spans="12:21" x14ac:dyDescent="0.3">
      <c r="L55" t="s">
        <v>52</v>
      </c>
      <c r="M55" s="3">
        <f>SUMPRODUCT(M51:O53,L10:N12)</f>
        <v>1050</v>
      </c>
    </row>
    <row r="56" spans="12:21" x14ac:dyDescent="0.3">
      <c r="U56" t="s">
        <v>56</v>
      </c>
    </row>
    <row r="57" spans="12:21" x14ac:dyDescent="0.3">
      <c r="R57" s="2">
        <v>3</v>
      </c>
      <c r="S57" s="2">
        <v>5</v>
      </c>
      <c r="T57" s="2">
        <v>7</v>
      </c>
      <c r="U57" s="10">
        <v>0</v>
      </c>
    </row>
    <row r="58" spans="12:21" x14ac:dyDescent="0.3">
      <c r="Q58" t="s">
        <v>60</v>
      </c>
      <c r="R58">
        <v>12</v>
      </c>
      <c r="S58">
        <v>10</v>
      </c>
      <c r="T58" s="2">
        <v>9</v>
      </c>
      <c r="U58">
        <v>-2</v>
      </c>
    </row>
    <row r="59" spans="12:21" x14ac:dyDescent="0.3">
      <c r="R59">
        <v>13</v>
      </c>
      <c r="S59" s="2">
        <v>3</v>
      </c>
      <c r="T59" s="10">
        <v>9</v>
      </c>
      <c r="U59" s="10">
        <v>2</v>
      </c>
    </row>
    <row r="60" spans="12:21" x14ac:dyDescent="0.3">
      <c r="Q60" t="s">
        <v>59</v>
      </c>
      <c r="R60">
        <v>-3</v>
      </c>
      <c r="S60">
        <v>-5</v>
      </c>
      <c r="T60" s="10">
        <v>-7</v>
      </c>
    </row>
    <row r="63" spans="12:21" x14ac:dyDescent="0.3">
      <c r="Q63" t="s">
        <v>61</v>
      </c>
      <c r="R63" s="2">
        <f>R57+R60+$U$57</f>
        <v>0</v>
      </c>
      <c r="S63" s="2">
        <f t="shared" ref="S63:T63" si="5">S57+S60+$U$57</f>
        <v>0</v>
      </c>
      <c r="T63" s="2">
        <f t="shared" si="5"/>
        <v>0</v>
      </c>
    </row>
    <row r="64" spans="12:21" x14ac:dyDescent="0.3">
      <c r="R64">
        <f>R58+R60+$U$58</f>
        <v>7</v>
      </c>
      <c r="S64">
        <f t="shared" ref="S64:T64" si="6">S58+S60+$U$58</f>
        <v>3</v>
      </c>
      <c r="T64" s="2">
        <f t="shared" si="6"/>
        <v>0</v>
      </c>
    </row>
    <row r="65" spans="18:20" x14ac:dyDescent="0.3">
      <c r="R65">
        <f>R59+R60+$U$59</f>
        <v>12</v>
      </c>
      <c r="S65" s="2">
        <f t="shared" ref="S65:T65" si="7">S59+S60+$U$59</f>
        <v>0</v>
      </c>
      <c r="T65" s="10">
        <f t="shared" si="7"/>
        <v>4</v>
      </c>
    </row>
    <row r="67" spans="18:20" x14ac:dyDescent="0.3">
      <c r="R67" t="s">
        <v>62</v>
      </c>
    </row>
    <row r="68" spans="18:20" x14ac:dyDescent="0.3">
      <c r="R68" t="s">
        <v>63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C503-A3B1-41A6-A3D9-314272D40344}">
  <dimension ref="A1"/>
  <sheetViews>
    <sheetView workbookViewId="0">
      <selection activeCell="G18" sqref="G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Zad1</vt:lpstr>
      <vt:lpstr>Zad2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Lisowski Mariusz</dc:creator>
  <cp:lastModifiedBy>prac608</cp:lastModifiedBy>
  <dcterms:created xsi:type="dcterms:W3CDTF">2026-06-01T05:46:35Z</dcterms:created>
  <dcterms:modified xsi:type="dcterms:W3CDTF">2026-06-01T07:15:15Z</dcterms:modified>
</cp:coreProperties>
</file>