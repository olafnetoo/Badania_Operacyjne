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6E12C06-5592-4092-B5AD-E73AE7B7AC10}" xr6:coauthVersionLast="47" xr6:coauthVersionMax="47" xr10:uidLastSave="{00000000-0000-0000-0000-000000000000}"/>
  <bookViews>
    <workbookView xWindow="-96" yWindow="-96" windowWidth="23232" windowHeight="13152" xr2:uid="{45326440-1B18-4D97-A1CB-23CBF1FE5026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12" i="1" l="1"/>
  <c r="L110" i="1"/>
  <c r="P107" i="1"/>
  <c r="Q106" i="1"/>
  <c r="O101" i="1"/>
  <c r="Q100" i="1"/>
  <c r="O95" i="1"/>
  <c r="Q93" i="1"/>
  <c r="N88" i="1"/>
  <c r="Q86" i="1"/>
  <c r="Q78" i="1"/>
  <c r="N81" i="1"/>
  <c r="Q69" i="1"/>
  <c r="M72" i="1"/>
  <c r="Q72" i="1"/>
  <c r="Q65" i="1"/>
  <c r="O54" i="1"/>
  <c r="N53" i="1"/>
</calcChain>
</file>

<file path=xl/sharedStrings.xml><?xml version="1.0" encoding="utf-8"?>
<sst xmlns="http://schemas.openxmlformats.org/spreadsheetml/2006/main" count="182" uniqueCount="86">
  <si>
    <t>P1</t>
  </si>
  <si>
    <t>P2</t>
  </si>
  <si>
    <t>P3</t>
  </si>
  <si>
    <t>P4</t>
  </si>
  <si>
    <t>Podaż</t>
  </si>
  <si>
    <t>M1</t>
  </si>
  <si>
    <t>M2</t>
  </si>
  <si>
    <t>M3</t>
  </si>
  <si>
    <t>Popyt</t>
  </si>
  <si>
    <t>1.Określenie zmiennnych decyzjnych</t>
  </si>
  <si>
    <t>Xij-ilość towaru przemieszczona od itego dostawcy do jtego odboery</t>
  </si>
  <si>
    <t>i numer dostawcy</t>
  </si>
  <si>
    <t>j-nr odbiorcy</t>
  </si>
  <si>
    <t>ij-numer węzła</t>
  </si>
  <si>
    <t>2.Macierz zmiennych decyzyjncyh</t>
  </si>
  <si>
    <t>Xij</t>
  </si>
  <si>
    <t>(3x4)</t>
  </si>
  <si>
    <t>X11</t>
  </si>
  <si>
    <t>X12</t>
  </si>
  <si>
    <t>X13</t>
  </si>
  <si>
    <t>X14</t>
  </si>
  <si>
    <t>X21</t>
  </si>
  <si>
    <t>X22</t>
  </si>
  <si>
    <t>X23</t>
  </si>
  <si>
    <t>X24</t>
  </si>
  <si>
    <t>X31</t>
  </si>
  <si>
    <t>X32</t>
  </si>
  <si>
    <t>X33</t>
  </si>
  <si>
    <t>X34</t>
  </si>
  <si>
    <t>3. Macierz kosztów jednostkowych</t>
  </si>
  <si>
    <t>Cij=</t>
  </si>
  <si>
    <t>C11</t>
  </si>
  <si>
    <t>C12</t>
  </si>
  <si>
    <t>C13</t>
  </si>
  <si>
    <t>C14</t>
  </si>
  <si>
    <t>C21</t>
  </si>
  <si>
    <t>C22</t>
  </si>
  <si>
    <t>C23</t>
  </si>
  <si>
    <t>C24</t>
  </si>
  <si>
    <t>C31</t>
  </si>
  <si>
    <t>C32</t>
  </si>
  <si>
    <t>C33</t>
  </si>
  <si>
    <t>C34</t>
  </si>
  <si>
    <t>4.</t>
  </si>
  <si>
    <t>Funkcja celu Modelu decyzyjnego</t>
  </si>
  <si>
    <t>Fc:</t>
  </si>
  <si>
    <t>suma (po i-wierszach i j-kolumnach) Cij*Xij</t>
  </si>
  <si>
    <t>50X11+40X12+…70X33+80X34~~min</t>
  </si>
  <si>
    <t>5. Warunki Ograniczające</t>
  </si>
  <si>
    <t>dla dostawców:</t>
  </si>
  <si>
    <t>WOD:</t>
  </si>
  <si>
    <t>X11+X12+x13+x14=70</t>
  </si>
  <si>
    <t>X21+x22+x23+x24=50</t>
  </si>
  <si>
    <t>X31+x32+x33+x34=80</t>
  </si>
  <si>
    <t>dla odbiorców:</t>
  </si>
  <si>
    <t>WOO:</t>
  </si>
  <si>
    <t>X11+x21+x31=40</t>
  </si>
  <si>
    <t>X12+x22+x32=60</t>
  </si>
  <si>
    <t>X13+X23+X33=50</t>
  </si>
  <si>
    <t>X14+X24+X34=50</t>
  </si>
  <si>
    <t>6. Warunki brzeegowe</t>
  </si>
  <si>
    <t>WB:</t>
  </si>
  <si>
    <t>Xij&gt;=0</t>
  </si>
  <si>
    <t>7. Zapis pełengo modelu</t>
  </si>
  <si>
    <t>8. Sprawdzenie zbilansowania modelu:</t>
  </si>
  <si>
    <t>suma ai=</t>
  </si>
  <si>
    <t xml:space="preserve"> =70+50+80</t>
  </si>
  <si>
    <t>suma bj=</t>
  </si>
  <si>
    <t xml:space="preserve"> =40+60+50+50=</t>
  </si>
  <si>
    <t>Powinno się równać</t>
  </si>
  <si>
    <t>wtedy zbilansowany</t>
  </si>
  <si>
    <t>9. Rozwiązanie dopuszczalne metodą kąta północno-zachodniego</t>
  </si>
  <si>
    <t>bj</t>
  </si>
  <si>
    <t>ai</t>
  </si>
  <si>
    <t>punkt wyjscia</t>
  </si>
  <si>
    <t>rozpoczynamy od węzła o najmniejszej sumie ij</t>
  </si>
  <si>
    <t>`</t>
  </si>
  <si>
    <t>i wpisujemy tam min z a1/b1</t>
  </si>
  <si>
    <t>zerujemy popyt lub podaż w danym wierszu lub kolumnie</t>
  </si>
  <si>
    <t>pomniejszamy ai i bj o wpisana wartosc</t>
  </si>
  <si>
    <t>Następny węzeł</t>
  </si>
  <si>
    <t>next</t>
  </si>
  <si>
    <t>dalej</t>
  </si>
  <si>
    <t>Sprawdzenie suma wartości na wszytskich wpisanych węzłach</t>
  </si>
  <si>
    <t>równe sumi epopytu=sumie podaży</t>
  </si>
  <si>
    <t>Okreśłenie łącznego kosztu transportu w tym (dopuszczalnym) rozwiąznaiu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</si>
</sst>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2" fillId="0" borderId="0" xfId="0" applyFont="1"/>
    <xf numFmtId="0" fontId="1" fillId="2" borderId="0" xfId="0" applyFont="1" applyFill="1"/>
    <xf numFmtId="0" fontId="1" fillId="0" borderId="0" xfId="0" applyFont="1" applyFill="1"/>
    <xf numFmtId="0" fontId="0" fillId="3" borderId="0" xfId="0" applyFill="1"/>
    <xf numFmtId="0" fontId="0" fillId="0" borderId="0" xfId="0" applyFont="1" applyFill="1"/>
    <xf numFmtId="0" fontId="1" fillId="4" borderId="0" xfId="0" applyFont="1" applyFill="1"/>
    <xf numFmtId="0" fontId="0" fillId="4" borderId="0" xfId="0" applyFill="1"/>
    <xf numFmtId="0" fontId="0" fillId="0" borderId="0" xfId="0" applyFill="1"/>
    <xf numFmtId="0" fontId="0" fillId="5" borderId="0" xfId="0" applyFill="1"/>
    <xf numFmtId="0" fontId="0" fillId="6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19051</xdr:colOff>
      <xdr:row>16</xdr:row>
      <xdr:rowOff>171658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79DEC5F5-9747-9474-195A-7ED7EC5A4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505450" cy="30596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F9F6A-82B1-48AA-9F35-0A80C35C72C5}">
  <dimension ref="L3:U112"/>
  <sheetViews>
    <sheetView tabSelected="1" topLeftCell="A82" workbookViewId="0">
      <selection activeCell="T99" sqref="T99"/>
    </sheetView>
  </sheetViews>
  <sheetFormatPr defaultRowHeight="14.4" x14ac:dyDescent="0.3"/>
  <cols>
    <col min="13" max="13" width="11.21875" customWidth="1"/>
  </cols>
  <sheetData>
    <row r="3" spans="12:17" x14ac:dyDescent="0.3">
      <c r="M3" t="s">
        <v>0</v>
      </c>
      <c r="N3" t="s">
        <v>1</v>
      </c>
      <c r="O3" t="s">
        <v>2</v>
      </c>
      <c r="P3" t="s">
        <v>3</v>
      </c>
      <c r="Q3" t="s">
        <v>4</v>
      </c>
    </row>
    <row r="4" spans="12:17" x14ac:dyDescent="0.3">
      <c r="L4" t="s">
        <v>5</v>
      </c>
      <c r="M4">
        <v>50</v>
      </c>
      <c r="N4">
        <v>40</v>
      </c>
      <c r="O4">
        <v>50</v>
      </c>
      <c r="P4">
        <v>20</v>
      </c>
      <c r="Q4">
        <v>70</v>
      </c>
    </row>
    <row r="5" spans="12:17" x14ac:dyDescent="0.3">
      <c r="L5" t="s">
        <v>6</v>
      </c>
      <c r="M5">
        <v>40</v>
      </c>
      <c r="N5">
        <v>80</v>
      </c>
      <c r="O5">
        <v>70</v>
      </c>
      <c r="P5">
        <v>30</v>
      </c>
      <c r="Q5">
        <v>50</v>
      </c>
    </row>
    <row r="6" spans="12:17" x14ac:dyDescent="0.3">
      <c r="L6" t="s">
        <v>7</v>
      </c>
      <c r="M6">
        <v>60</v>
      </c>
      <c r="N6">
        <v>40</v>
      </c>
      <c r="O6">
        <v>70</v>
      </c>
      <c r="P6">
        <v>80</v>
      </c>
      <c r="Q6">
        <v>80</v>
      </c>
    </row>
    <row r="7" spans="12:17" x14ac:dyDescent="0.3">
      <c r="L7" t="s">
        <v>8</v>
      </c>
      <c r="M7">
        <v>40</v>
      </c>
      <c r="N7">
        <v>60</v>
      </c>
      <c r="O7">
        <v>50</v>
      </c>
      <c r="P7">
        <v>50</v>
      </c>
    </row>
    <row r="9" spans="12:17" x14ac:dyDescent="0.3">
      <c r="L9" t="s">
        <v>9</v>
      </c>
    </row>
    <row r="10" spans="12:17" x14ac:dyDescent="0.3">
      <c r="L10" t="s">
        <v>10</v>
      </c>
    </row>
    <row r="11" spans="12:17" x14ac:dyDescent="0.3">
      <c r="L11" t="s">
        <v>11</v>
      </c>
    </row>
    <row r="12" spans="12:17" x14ac:dyDescent="0.3">
      <c r="L12" t="s">
        <v>12</v>
      </c>
    </row>
    <row r="13" spans="12:17" x14ac:dyDescent="0.3">
      <c r="L13" t="s">
        <v>13</v>
      </c>
    </row>
    <row r="14" spans="12:17" x14ac:dyDescent="0.3">
      <c r="L14" t="s">
        <v>14</v>
      </c>
    </row>
    <row r="16" spans="12:17" x14ac:dyDescent="0.3">
      <c r="L16" t="s">
        <v>15</v>
      </c>
      <c r="M16" s="1" t="s">
        <v>17</v>
      </c>
      <c r="N16" s="1" t="s">
        <v>18</v>
      </c>
      <c r="O16" s="1" t="s">
        <v>19</v>
      </c>
      <c r="P16" s="1" t="s">
        <v>20</v>
      </c>
    </row>
    <row r="17" spans="12:21" x14ac:dyDescent="0.3">
      <c r="L17" t="s">
        <v>16</v>
      </c>
      <c r="M17" s="1" t="s">
        <v>21</v>
      </c>
      <c r="N17" s="1" t="s">
        <v>22</v>
      </c>
      <c r="O17" s="1" t="s">
        <v>23</v>
      </c>
      <c r="P17" s="1" t="s">
        <v>24</v>
      </c>
    </row>
    <row r="18" spans="12:21" x14ac:dyDescent="0.3">
      <c r="M18" s="1" t="s">
        <v>25</v>
      </c>
      <c r="N18" s="1" t="s">
        <v>26</v>
      </c>
      <c r="O18" s="1" t="s">
        <v>27</v>
      </c>
      <c r="P18" s="1" t="s">
        <v>28</v>
      </c>
    </row>
    <row r="20" spans="12:21" x14ac:dyDescent="0.3">
      <c r="L20" t="s">
        <v>29</v>
      </c>
    </row>
    <row r="21" spans="12:21" x14ac:dyDescent="0.3">
      <c r="M21" s="1" t="s">
        <v>31</v>
      </c>
      <c r="N21" s="1" t="s">
        <v>32</v>
      </c>
      <c r="O21" s="1" t="s">
        <v>33</v>
      </c>
      <c r="P21" s="1" t="s">
        <v>34</v>
      </c>
      <c r="R21" s="1">
        <v>50</v>
      </c>
      <c r="S21" s="1">
        <v>40</v>
      </c>
      <c r="T21" s="1">
        <v>50</v>
      </c>
      <c r="U21" s="1">
        <v>20</v>
      </c>
    </row>
    <row r="22" spans="12:21" x14ac:dyDescent="0.3">
      <c r="L22" t="s">
        <v>30</v>
      </c>
      <c r="M22" s="1" t="s">
        <v>35</v>
      </c>
      <c r="N22" s="1" t="s">
        <v>36</v>
      </c>
      <c r="O22" s="1" t="s">
        <v>37</v>
      </c>
      <c r="P22" s="1" t="s">
        <v>38</v>
      </c>
      <c r="Q22" t="s">
        <v>30</v>
      </c>
      <c r="R22" s="1">
        <v>40</v>
      </c>
      <c r="S22" s="1">
        <v>80</v>
      </c>
      <c r="T22" s="1">
        <v>70</v>
      </c>
      <c r="U22" s="1">
        <v>30</v>
      </c>
    </row>
    <row r="23" spans="12:21" x14ac:dyDescent="0.3">
      <c r="M23" s="1" t="s">
        <v>39</v>
      </c>
      <c r="N23" s="1" t="s">
        <v>40</v>
      </c>
      <c r="O23" s="1" t="s">
        <v>41</v>
      </c>
      <c r="P23" s="1" t="s">
        <v>42</v>
      </c>
      <c r="R23" s="1">
        <v>60</v>
      </c>
      <c r="S23" s="1">
        <v>40</v>
      </c>
      <c r="T23" s="1">
        <v>70</v>
      </c>
      <c r="U23" s="1">
        <v>80</v>
      </c>
    </row>
    <row r="25" spans="12:21" x14ac:dyDescent="0.3">
      <c r="L25" t="s">
        <v>43</v>
      </c>
      <c r="M25" t="s">
        <v>44</v>
      </c>
    </row>
    <row r="27" spans="12:21" x14ac:dyDescent="0.3">
      <c r="L27" t="s">
        <v>45</v>
      </c>
      <c r="M27" t="s">
        <v>46</v>
      </c>
    </row>
    <row r="29" spans="12:21" x14ac:dyDescent="0.3">
      <c r="L29" t="s">
        <v>45</v>
      </c>
      <c r="M29" t="s">
        <v>47</v>
      </c>
    </row>
    <row r="31" spans="12:21" x14ac:dyDescent="0.3">
      <c r="L31" t="s">
        <v>48</v>
      </c>
    </row>
    <row r="32" spans="12:21" x14ac:dyDescent="0.3">
      <c r="L32" t="s">
        <v>49</v>
      </c>
      <c r="N32" s="2" t="s">
        <v>50</v>
      </c>
      <c r="O32" t="s">
        <v>51</v>
      </c>
    </row>
    <row r="33" spans="12:17" x14ac:dyDescent="0.3">
      <c r="O33" t="s">
        <v>52</v>
      </c>
    </row>
    <row r="34" spans="12:17" x14ac:dyDescent="0.3">
      <c r="O34" t="s">
        <v>53</v>
      </c>
    </row>
    <row r="36" spans="12:17" x14ac:dyDescent="0.3">
      <c r="L36" t="s">
        <v>54</v>
      </c>
      <c r="N36" s="2" t="s">
        <v>55</v>
      </c>
      <c r="O36" t="s">
        <v>56</v>
      </c>
    </row>
    <row r="37" spans="12:17" x14ac:dyDescent="0.3">
      <c r="O37" t="s">
        <v>57</v>
      </c>
    </row>
    <row r="38" spans="12:17" x14ac:dyDescent="0.3">
      <c r="O38" t="s">
        <v>58</v>
      </c>
    </row>
    <row r="39" spans="12:17" x14ac:dyDescent="0.3">
      <c r="O39" t="s">
        <v>59</v>
      </c>
    </row>
    <row r="41" spans="12:17" x14ac:dyDescent="0.3">
      <c r="L41" t="s">
        <v>60</v>
      </c>
    </row>
    <row r="42" spans="12:17" x14ac:dyDescent="0.3">
      <c r="L42" t="s">
        <v>61</v>
      </c>
      <c r="M42" t="s">
        <v>62</v>
      </c>
    </row>
    <row r="44" spans="12:17" x14ac:dyDescent="0.3">
      <c r="L44" t="s">
        <v>63</v>
      </c>
    </row>
    <row r="46" spans="12:17" x14ac:dyDescent="0.3">
      <c r="L46" t="s">
        <v>45</v>
      </c>
      <c r="M46" t="s">
        <v>47</v>
      </c>
    </row>
    <row r="48" spans="12:17" x14ac:dyDescent="0.3">
      <c r="L48" s="2" t="s">
        <v>50</v>
      </c>
      <c r="M48" t="s">
        <v>51</v>
      </c>
      <c r="P48" s="2" t="s">
        <v>55</v>
      </c>
      <c r="Q48" t="s">
        <v>56</v>
      </c>
    </row>
    <row r="49" spans="12:17" x14ac:dyDescent="0.3">
      <c r="M49" t="s">
        <v>52</v>
      </c>
      <c r="Q49" t="s">
        <v>57</v>
      </c>
    </row>
    <row r="50" spans="12:17" x14ac:dyDescent="0.3">
      <c r="M50" t="s">
        <v>53</v>
      </c>
      <c r="Q50" t="s">
        <v>58</v>
      </c>
    </row>
    <row r="51" spans="12:17" x14ac:dyDescent="0.3">
      <c r="Q51" t="s">
        <v>59</v>
      </c>
    </row>
    <row r="52" spans="12:17" x14ac:dyDescent="0.3">
      <c r="L52" t="s">
        <v>64</v>
      </c>
    </row>
    <row r="53" spans="12:17" x14ac:dyDescent="0.3">
      <c r="L53" t="s">
        <v>65</v>
      </c>
      <c r="M53" t="s">
        <v>66</v>
      </c>
      <c r="N53">
        <f>70+50+80</f>
        <v>200</v>
      </c>
    </row>
    <row r="54" spans="12:17" x14ac:dyDescent="0.3">
      <c r="L54" t="s">
        <v>67</v>
      </c>
      <c r="M54" t="s">
        <v>68</v>
      </c>
      <c r="O54">
        <f>40+50+50+60</f>
        <v>200</v>
      </c>
    </row>
    <row r="56" spans="12:17" x14ac:dyDescent="0.3">
      <c r="M56" t="s">
        <v>69</v>
      </c>
    </row>
    <row r="57" spans="12:17" x14ac:dyDescent="0.3">
      <c r="M57" t="s">
        <v>70</v>
      </c>
    </row>
    <row r="59" spans="12:17" x14ac:dyDescent="0.3">
      <c r="L59" t="s">
        <v>71</v>
      </c>
    </row>
    <row r="61" spans="12:17" x14ac:dyDescent="0.3">
      <c r="L61" t="s">
        <v>74</v>
      </c>
      <c r="Q61" t="s">
        <v>73</v>
      </c>
    </row>
    <row r="62" spans="12:17" x14ac:dyDescent="0.3">
      <c r="L62" s="4" t="s">
        <v>15</v>
      </c>
      <c r="M62" s="3" t="s">
        <v>17</v>
      </c>
      <c r="N62" s="3" t="s">
        <v>18</v>
      </c>
      <c r="O62" s="3" t="s">
        <v>19</v>
      </c>
      <c r="P62" s="3" t="s">
        <v>20</v>
      </c>
      <c r="Q62">
        <v>70</v>
      </c>
    </row>
    <row r="63" spans="12:17" x14ac:dyDescent="0.3">
      <c r="L63" s="4" t="s">
        <v>16</v>
      </c>
      <c r="M63" s="3" t="s">
        <v>21</v>
      </c>
      <c r="N63" s="3" t="s">
        <v>22</v>
      </c>
      <c r="O63" s="3" t="s">
        <v>23</v>
      </c>
      <c r="P63" s="3" t="s">
        <v>24</v>
      </c>
      <c r="Q63">
        <v>50</v>
      </c>
    </row>
    <row r="64" spans="12:17" x14ac:dyDescent="0.3">
      <c r="L64" s="4"/>
      <c r="M64" s="3" t="s">
        <v>25</v>
      </c>
      <c r="N64" s="3" t="s">
        <v>26</v>
      </c>
      <c r="O64" s="3" t="s">
        <v>27</v>
      </c>
      <c r="P64" s="3" t="s">
        <v>28</v>
      </c>
      <c r="Q64">
        <v>80</v>
      </c>
    </row>
    <row r="65" spans="12:20" x14ac:dyDescent="0.3">
      <c r="L65" t="s">
        <v>72</v>
      </c>
      <c r="M65">
        <v>40</v>
      </c>
      <c r="N65">
        <v>60</v>
      </c>
      <c r="O65">
        <v>50</v>
      </c>
      <c r="P65">
        <v>50</v>
      </c>
      <c r="Q65" s="5">
        <f>SUM(Q62:Q64)</f>
        <v>200</v>
      </c>
    </row>
    <row r="67" spans="12:20" x14ac:dyDescent="0.3">
      <c r="L67" s="6" t="s">
        <v>75</v>
      </c>
      <c r="Q67" t="s">
        <v>77</v>
      </c>
    </row>
    <row r="69" spans="12:20" x14ac:dyDescent="0.3">
      <c r="L69" s="4" t="s">
        <v>15</v>
      </c>
      <c r="M69" s="7">
        <v>40</v>
      </c>
      <c r="N69" s="3" t="s">
        <v>18</v>
      </c>
      <c r="O69" s="3" t="s">
        <v>19</v>
      </c>
      <c r="P69" s="3" t="s">
        <v>20</v>
      </c>
      <c r="Q69">
        <f>Q62-M69</f>
        <v>30</v>
      </c>
    </row>
    <row r="70" spans="12:20" x14ac:dyDescent="0.3">
      <c r="L70" s="4" t="s">
        <v>16</v>
      </c>
      <c r="M70" s="3" t="s">
        <v>21</v>
      </c>
      <c r="N70" s="3" t="s">
        <v>22</v>
      </c>
      <c r="O70" s="3" t="s">
        <v>23</v>
      </c>
      <c r="P70" s="3" t="s">
        <v>24</v>
      </c>
      <c r="Q70">
        <v>50</v>
      </c>
    </row>
    <row r="71" spans="12:20" x14ac:dyDescent="0.3">
      <c r="L71" s="4"/>
      <c r="M71" s="3" t="s">
        <v>25</v>
      </c>
      <c r="N71" s="3" t="s">
        <v>26</v>
      </c>
      <c r="O71" s="3" t="s">
        <v>27</v>
      </c>
      <c r="P71" s="3" t="s">
        <v>28</v>
      </c>
      <c r="Q71">
        <v>80</v>
      </c>
    </row>
    <row r="72" spans="12:20" x14ac:dyDescent="0.3">
      <c r="L72" t="s">
        <v>72</v>
      </c>
      <c r="M72">
        <f>M65-M69</f>
        <v>0</v>
      </c>
      <c r="N72">
        <v>60</v>
      </c>
      <c r="O72">
        <v>50</v>
      </c>
      <c r="P72">
        <v>50</v>
      </c>
      <c r="Q72" s="5">
        <f>SUM(Q69:Q71)</f>
        <v>160</v>
      </c>
      <c r="T72" t="s">
        <v>76</v>
      </c>
    </row>
    <row r="74" spans="12:20" x14ac:dyDescent="0.3">
      <c r="L74" s="6" t="s">
        <v>78</v>
      </c>
    </row>
    <row r="75" spans="12:20" x14ac:dyDescent="0.3">
      <c r="L75" s="6" t="s">
        <v>79</v>
      </c>
    </row>
    <row r="76" spans="12:20" x14ac:dyDescent="0.3">
      <c r="L76" s="6" t="s">
        <v>80</v>
      </c>
    </row>
    <row r="78" spans="12:20" x14ac:dyDescent="0.3">
      <c r="L78" t="s">
        <v>15</v>
      </c>
      <c r="M78">
        <v>40</v>
      </c>
      <c r="N78" s="8">
        <v>30</v>
      </c>
      <c r="O78" t="s">
        <v>19</v>
      </c>
      <c r="P78" t="s">
        <v>20</v>
      </c>
      <c r="Q78">
        <f>Q69-N78</f>
        <v>0</v>
      </c>
    </row>
    <row r="79" spans="12:20" x14ac:dyDescent="0.3">
      <c r="L79" t="s">
        <v>16</v>
      </c>
      <c r="M79" t="s">
        <v>21</v>
      </c>
      <c r="N79" t="s">
        <v>22</v>
      </c>
      <c r="O79" t="s">
        <v>23</v>
      </c>
      <c r="P79" t="s">
        <v>24</v>
      </c>
      <c r="Q79">
        <v>50</v>
      </c>
    </row>
    <row r="80" spans="12:20" x14ac:dyDescent="0.3">
      <c r="M80" t="s">
        <v>25</v>
      </c>
      <c r="N80" t="s">
        <v>26</v>
      </c>
      <c r="O80" t="s">
        <v>27</v>
      </c>
      <c r="P80" t="s">
        <v>28</v>
      </c>
      <c r="Q80">
        <v>80</v>
      </c>
    </row>
    <row r="81" spans="12:17" x14ac:dyDescent="0.3">
      <c r="L81" t="s">
        <v>72</v>
      </c>
      <c r="M81">
        <v>0</v>
      </c>
      <c r="N81">
        <f>N72-N78</f>
        <v>30</v>
      </c>
      <c r="O81">
        <v>50</v>
      </c>
      <c r="P81">
        <v>50</v>
      </c>
      <c r="Q81">
        <v>130</v>
      </c>
    </row>
    <row r="83" spans="12:17" x14ac:dyDescent="0.3">
      <c r="L83" t="s">
        <v>81</v>
      </c>
    </row>
    <row r="85" spans="12:17" x14ac:dyDescent="0.3">
      <c r="L85" t="s">
        <v>15</v>
      </c>
      <c r="M85">
        <v>40</v>
      </c>
      <c r="N85">
        <v>30</v>
      </c>
      <c r="O85" t="s">
        <v>19</v>
      </c>
      <c r="P85" t="s">
        <v>20</v>
      </c>
      <c r="Q85">
        <v>0</v>
      </c>
    </row>
    <row r="86" spans="12:17" x14ac:dyDescent="0.3">
      <c r="L86" t="s">
        <v>16</v>
      </c>
      <c r="M86" t="s">
        <v>21</v>
      </c>
      <c r="N86" s="8">
        <v>30</v>
      </c>
      <c r="O86" t="s">
        <v>23</v>
      </c>
      <c r="P86" t="s">
        <v>24</v>
      </c>
      <c r="Q86">
        <f>Q79-N86</f>
        <v>20</v>
      </c>
    </row>
    <row r="87" spans="12:17" x14ac:dyDescent="0.3">
      <c r="M87" t="s">
        <v>25</v>
      </c>
      <c r="N87" t="s">
        <v>26</v>
      </c>
      <c r="O87" t="s">
        <v>27</v>
      </c>
      <c r="P87" t="s">
        <v>28</v>
      </c>
      <c r="Q87">
        <v>80</v>
      </c>
    </row>
    <row r="88" spans="12:17" x14ac:dyDescent="0.3">
      <c r="L88" t="s">
        <v>72</v>
      </c>
      <c r="M88">
        <v>0</v>
      </c>
      <c r="N88">
        <f>N81-N86</f>
        <v>0</v>
      </c>
      <c r="O88">
        <v>50</v>
      </c>
      <c r="P88">
        <v>50</v>
      </c>
      <c r="Q88">
        <v>100</v>
      </c>
    </row>
    <row r="90" spans="12:17" x14ac:dyDescent="0.3">
      <c r="L90" t="s">
        <v>82</v>
      </c>
    </row>
    <row r="92" spans="12:17" x14ac:dyDescent="0.3">
      <c r="L92" t="s">
        <v>15</v>
      </c>
      <c r="M92">
        <v>40</v>
      </c>
      <c r="N92">
        <v>30</v>
      </c>
      <c r="O92" s="9" t="s">
        <v>19</v>
      </c>
      <c r="P92" t="s">
        <v>20</v>
      </c>
      <c r="Q92">
        <v>0</v>
      </c>
    </row>
    <row r="93" spans="12:17" x14ac:dyDescent="0.3">
      <c r="L93" t="s">
        <v>16</v>
      </c>
      <c r="M93" t="s">
        <v>21</v>
      </c>
      <c r="N93">
        <v>30</v>
      </c>
      <c r="O93" s="8">
        <v>20</v>
      </c>
      <c r="P93" t="s">
        <v>24</v>
      </c>
      <c r="Q93">
        <f>Q86-O93</f>
        <v>0</v>
      </c>
    </row>
    <row r="94" spans="12:17" x14ac:dyDescent="0.3">
      <c r="M94" t="s">
        <v>25</v>
      </c>
      <c r="N94" t="s">
        <v>26</v>
      </c>
      <c r="O94" t="s">
        <v>27</v>
      </c>
      <c r="P94" t="s">
        <v>28</v>
      </c>
      <c r="Q94">
        <v>80</v>
      </c>
    </row>
    <row r="95" spans="12:17" x14ac:dyDescent="0.3">
      <c r="L95" t="s">
        <v>72</v>
      </c>
      <c r="M95">
        <v>0</v>
      </c>
      <c r="N95">
        <v>0</v>
      </c>
      <c r="O95">
        <f>O88-O93</f>
        <v>30</v>
      </c>
      <c r="P95">
        <v>50</v>
      </c>
      <c r="Q95">
        <v>80</v>
      </c>
    </row>
    <row r="98" spans="12:19" x14ac:dyDescent="0.3">
      <c r="L98" t="s">
        <v>15</v>
      </c>
      <c r="M98">
        <v>40</v>
      </c>
      <c r="N98">
        <v>30</v>
      </c>
      <c r="O98" t="s">
        <v>19</v>
      </c>
      <c r="P98" t="s">
        <v>20</v>
      </c>
      <c r="Q98">
        <v>0</v>
      </c>
    </row>
    <row r="99" spans="12:19" x14ac:dyDescent="0.3">
      <c r="L99" t="s">
        <v>16</v>
      </c>
      <c r="M99" t="s">
        <v>21</v>
      </c>
      <c r="N99">
        <v>30</v>
      </c>
      <c r="O99">
        <v>20</v>
      </c>
      <c r="P99" t="s">
        <v>24</v>
      </c>
      <c r="Q99">
        <v>0</v>
      </c>
    </row>
    <row r="100" spans="12:19" x14ac:dyDescent="0.3">
      <c r="M100" t="s">
        <v>25</v>
      </c>
      <c r="N100" t="s">
        <v>26</v>
      </c>
      <c r="O100" s="8">
        <v>30</v>
      </c>
      <c r="P100" t="s">
        <v>28</v>
      </c>
      <c r="Q100">
        <f>Q94-O100</f>
        <v>50</v>
      </c>
    </row>
    <row r="101" spans="12:19" x14ac:dyDescent="0.3">
      <c r="L101" t="s">
        <v>72</v>
      </c>
      <c r="M101">
        <v>0</v>
      </c>
      <c r="N101">
        <v>0</v>
      </c>
      <c r="O101">
        <f>O95-O100</f>
        <v>0</v>
      </c>
      <c r="P101">
        <v>50</v>
      </c>
      <c r="Q101">
        <v>50</v>
      </c>
    </row>
    <row r="104" spans="12:19" x14ac:dyDescent="0.3">
      <c r="L104" t="s">
        <v>15</v>
      </c>
      <c r="M104" s="8">
        <v>40</v>
      </c>
      <c r="N104" s="8">
        <v>30</v>
      </c>
      <c r="O104" s="10" t="s">
        <v>19</v>
      </c>
      <c r="P104" s="10" t="s">
        <v>20</v>
      </c>
      <c r="Q104">
        <v>0</v>
      </c>
    </row>
    <row r="105" spans="12:19" x14ac:dyDescent="0.3">
      <c r="L105" t="s">
        <v>16</v>
      </c>
      <c r="M105" s="10" t="s">
        <v>21</v>
      </c>
      <c r="N105" s="8">
        <v>30</v>
      </c>
      <c r="O105" s="8">
        <v>20</v>
      </c>
      <c r="P105" s="10" t="s">
        <v>24</v>
      </c>
      <c r="Q105">
        <v>0</v>
      </c>
    </row>
    <row r="106" spans="12:19" x14ac:dyDescent="0.3">
      <c r="M106" s="10" t="s">
        <v>25</v>
      </c>
      <c r="N106" s="10" t="s">
        <v>26</v>
      </c>
      <c r="O106" s="8">
        <v>30</v>
      </c>
      <c r="P106" s="8">
        <v>50</v>
      </c>
      <c r="Q106">
        <f>Q100-P106</f>
        <v>0</v>
      </c>
    </row>
    <row r="107" spans="12:19" x14ac:dyDescent="0.3">
      <c r="L107" t="s">
        <v>72</v>
      </c>
      <c r="M107">
        <v>0</v>
      </c>
      <c r="N107">
        <v>0</v>
      </c>
      <c r="O107">
        <v>0</v>
      </c>
      <c r="P107">
        <f>P101-P106</f>
        <v>0</v>
      </c>
      <c r="Q107">
        <v>0</v>
      </c>
    </row>
    <row r="109" spans="12:19" x14ac:dyDescent="0.3">
      <c r="L109" t="s">
        <v>83</v>
      </c>
    </row>
    <row r="110" spans="12:19" x14ac:dyDescent="0.3">
      <c r="L110">
        <f>SUM(M104:P106)</f>
        <v>200</v>
      </c>
      <c r="M110" t="s">
        <v>84</v>
      </c>
    </row>
    <row r="112" spans="12:19" x14ac:dyDescent="0.3">
      <c r="L112" t="s">
        <v>85</v>
      </c>
      <c r="S112" s="11">
        <f>SUMPRODUCT(M104:P106,R21:U23)</f>
        <v>13100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2026-05-25T07:54:35Z</dcterms:created>
  <dcterms:modified xsi:type="dcterms:W3CDTF">2026-05-26T07:13:22Z</dcterms:modified>
</cp:coreProperties>
</file>