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17.xml" ContentType="application/inkml+xml"/>
  <Override PartName="/xl/ink/ink18.xml" ContentType="application/inkml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ink/ink19.xml" ContentType="application/inkml+xml"/>
  <Override PartName="/xl/ink/ink20.xml" ContentType="application/inkml+xml"/>
  <Override PartName="/xl/ink/ink21.xml" ContentType="application/inkml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608\Desktop\BO_KW1\"/>
    </mc:Choice>
  </mc:AlternateContent>
  <xr:revisionPtr revIDLastSave="0" documentId="13_ncr:1_{912B9624-80DF-46C8-AD1D-38DF1D3C548B}" xr6:coauthVersionLast="47" xr6:coauthVersionMax="47" xr10:uidLastSave="{00000000-0000-0000-0000-000000000000}"/>
  <bookViews>
    <workbookView xWindow="-108" yWindow="-108" windowWidth="23256" windowHeight="12456" activeTab="5" xr2:uid="{10D9412E-425A-427C-9571-88D404C725CE}"/>
  </bookViews>
  <sheets>
    <sheet name="Z1" sheetId="1" r:id="rId1"/>
    <sheet name="Z2" sheetId="2" r:id="rId2"/>
    <sheet name="Z3" sheetId="3" r:id="rId3"/>
    <sheet name="Z1min" sheetId="4" r:id="rId4"/>
    <sheet name="Z2min" sheetId="5" r:id="rId5"/>
    <sheet name="Z3mi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6" i="6" l="1"/>
  <c r="L55" i="6"/>
  <c r="C53" i="6"/>
  <c r="C52" i="6"/>
  <c r="C51" i="6"/>
  <c r="C55" i="6" s="1"/>
  <c r="E42" i="6"/>
  <c r="F41" i="6"/>
  <c r="E36" i="6"/>
  <c r="F35" i="6"/>
  <c r="E32" i="6"/>
  <c r="F31" i="6"/>
  <c r="E28" i="6"/>
  <c r="F27" i="6"/>
  <c r="E45" i="5"/>
  <c r="P38" i="5"/>
  <c r="Q37" i="5"/>
  <c r="N35" i="5"/>
  <c r="C43" i="5"/>
  <c r="C42" i="5"/>
  <c r="C41" i="5"/>
  <c r="E30" i="5"/>
  <c r="F29" i="5"/>
  <c r="E26" i="5"/>
  <c r="F25" i="5"/>
  <c r="E22" i="5"/>
  <c r="F21" i="5"/>
  <c r="I49" i="4"/>
  <c r="J48" i="4"/>
  <c r="G45" i="4"/>
  <c r="D49" i="4"/>
  <c r="D48" i="4"/>
  <c r="D47" i="4"/>
  <c r="D46" i="4"/>
  <c r="D45" i="4"/>
  <c r="F33" i="4"/>
  <c r="G32" i="4"/>
  <c r="F28" i="4"/>
  <c r="G27" i="4"/>
  <c r="F24" i="4"/>
  <c r="G23" i="4"/>
  <c r="E20" i="4"/>
  <c r="F19" i="4"/>
  <c r="C63" i="3"/>
  <c r="E47" i="3"/>
  <c r="F46" i="3"/>
  <c r="D47" i="3"/>
  <c r="F27" i="3"/>
  <c r="G26" i="3"/>
  <c r="F23" i="3"/>
  <c r="G22" i="3"/>
  <c r="F17" i="3"/>
  <c r="G16" i="3"/>
  <c r="F54" i="2"/>
  <c r="G53" i="2"/>
  <c r="F51" i="2"/>
  <c r="F46" i="2"/>
  <c r="G45" i="2"/>
  <c r="E46" i="2"/>
  <c r="E28" i="2"/>
  <c r="F27" i="2"/>
  <c r="E23" i="2"/>
  <c r="F22" i="2"/>
  <c r="E18" i="2"/>
  <c r="F17" i="2"/>
  <c r="F80" i="1"/>
  <c r="G79" i="1"/>
  <c r="D76" i="1"/>
  <c r="F72" i="1"/>
  <c r="F71" i="1"/>
  <c r="D69" i="1"/>
  <c r="D68" i="1"/>
  <c r="D67" i="1"/>
  <c r="H51" i="1"/>
  <c r="I50" i="1"/>
  <c r="G29" i="1"/>
  <c r="H28" i="1"/>
  <c r="G25" i="1"/>
  <c r="H24" i="1"/>
  <c r="C54" i="6" l="1"/>
  <c r="F54" i="6" s="1"/>
  <c r="C46" i="5"/>
  <c r="C45" i="5"/>
</calcChain>
</file>

<file path=xl/sharedStrings.xml><?xml version="1.0" encoding="utf-8"?>
<sst xmlns="http://schemas.openxmlformats.org/spreadsheetml/2006/main" count="419" uniqueCount="201">
  <si>
    <t>Wyrób 1</t>
  </si>
  <si>
    <t>Wyrób 2</t>
  </si>
  <si>
    <t>Limit</t>
  </si>
  <si>
    <t>Środek 1</t>
  </si>
  <si>
    <t>Środek 2</t>
  </si>
  <si>
    <t>Zysk</t>
  </si>
  <si>
    <t>Etapy:</t>
  </si>
  <si>
    <t>1.Oznaczenie zmiennych decyzyjnych</t>
  </si>
  <si>
    <t>X1-ilość produkcji/wyrobów W1</t>
  </si>
  <si>
    <t>X2-ilość produkcji /wyrobów W2</t>
  </si>
  <si>
    <t>2.Okreśłenie parametrów funkcji celu Cj</t>
  </si>
  <si>
    <t>C1</t>
  </si>
  <si>
    <t>C2</t>
  </si>
  <si>
    <t>Zysk  z w1</t>
  </si>
  <si>
    <t>zysk z w2</t>
  </si>
  <si>
    <t>bo w treści że chcemy maksymalny zysk</t>
  </si>
  <si>
    <t>3. Zapis funkcji celu</t>
  </si>
  <si>
    <t>FC:</t>
  </si>
  <si>
    <t>200*X1+400*X2 ~~max</t>
  </si>
  <si>
    <t>4.Określenie parametrów / warunków określających aij</t>
  </si>
  <si>
    <t>a11</t>
  </si>
  <si>
    <t>a12</t>
  </si>
  <si>
    <t>a21</t>
  </si>
  <si>
    <t>a22</t>
  </si>
  <si>
    <t>z tabeli jak macierz odczytać</t>
  </si>
  <si>
    <t>i numer warunku czyli środka</t>
  </si>
  <si>
    <t>j numer zmiennej czyli wyrobu</t>
  </si>
  <si>
    <t>5.Określenie wyrazów wolnych warunków ograniczających</t>
  </si>
  <si>
    <t>b1</t>
  </si>
  <si>
    <t>b2</t>
  </si>
  <si>
    <t>6.Zapis warunków ograniczających</t>
  </si>
  <si>
    <t>WO1:</t>
  </si>
  <si>
    <t>WO2:</t>
  </si>
  <si>
    <t>1*X1+4*X1&lt;=8000</t>
  </si>
  <si>
    <t>3*X1+2*X2&lt;=9000</t>
  </si>
  <si>
    <t>7.Zapis warunków brzegowych</t>
  </si>
  <si>
    <t>WB:</t>
  </si>
  <si>
    <t>X1,X2&gt;=0</t>
  </si>
  <si>
    <t>8.Model decyzyjny</t>
  </si>
  <si>
    <t>1.</t>
  </si>
  <si>
    <t>X1</t>
  </si>
  <si>
    <t>X2</t>
  </si>
  <si>
    <t xml:space="preserve"> ilość / produkcja stołów</t>
  </si>
  <si>
    <t>ilość / produkcja krzeseł</t>
  </si>
  <si>
    <t>2.</t>
  </si>
  <si>
    <t>3.</t>
  </si>
  <si>
    <t>100*x1+30*x2~~max</t>
  </si>
  <si>
    <t>4.</t>
  </si>
  <si>
    <t>a13</t>
  </si>
  <si>
    <t>a23</t>
  </si>
  <si>
    <t>5.</t>
  </si>
  <si>
    <t>b3</t>
  </si>
  <si>
    <t>6.</t>
  </si>
  <si>
    <t>0,01*x1+0,002&lt;=2</t>
  </si>
  <si>
    <t>WoO2:</t>
  </si>
  <si>
    <t>0,02*x2+0005&lt;=2</t>
  </si>
  <si>
    <t>WO3:</t>
  </si>
  <si>
    <t>3*x1+2*x2&lt;=180</t>
  </si>
  <si>
    <t>x1</t>
  </si>
  <si>
    <t>x2</t>
  </si>
  <si>
    <t>ilośc w1</t>
  </si>
  <si>
    <t>ilosc w2</t>
  </si>
  <si>
    <t>c1</t>
  </si>
  <si>
    <t>c2</t>
  </si>
  <si>
    <t>x1*20+x2*30~~max</t>
  </si>
  <si>
    <t>1*x1+0,5*x2&lt;=40</t>
  </si>
  <si>
    <t>0,5*x1+0,6*x2&lt;=42</t>
  </si>
  <si>
    <t>0,2*x1+0,3*x2&lt;=45</t>
  </si>
  <si>
    <t>Wb:</t>
  </si>
  <si>
    <t>x1,x2&gt;=0</t>
  </si>
  <si>
    <t>wb:</t>
  </si>
  <si>
    <t>S1</t>
  </si>
  <si>
    <t>S2</t>
  </si>
  <si>
    <t>S3</t>
  </si>
  <si>
    <t>k1</t>
  </si>
  <si>
    <t>k2</t>
  </si>
  <si>
    <t>limity</t>
  </si>
  <si>
    <t>&gt;=100</t>
  </si>
  <si>
    <t>&gt;=200</t>
  </si>
  <si>
    <t>&lt;=300</t>
  </si>
  <si>
    <t>koszt</t>
  </si>
  <si>
    <t>Karma1</t>
  </si>
  <si>
    <t>karma2</t>
  </si>
  <si>
    <t>Fc:</t>
  </si>
  <si>
    <t>x1*5+x2*8~~min</t>
  </si>
  <si>
    <t>10*x1+1*x2&gt;=100</t>
  </si>
  <si>
    <t>1*x1+10*x2&gt;=200</t>
  </si>
  <si>
    <t>10*x1+10*x2&lt;=300</t>
  </si>
  <si>
    <t>P1</t>
  </si>
  <si>
    <t>P2</t>
  </si>
  <si>
    <t>&gt;=480</t>
  </si>
  <si>
    <t>&gt;=240</t>
  </si>
  <si>
    <t>x1-pasza1</t>
  </si>
  <si>
    <t>x2-pasza2</t>
  </si>
  <si>
    <t>5x1+10x2~~min</t>
  </si>
  <si>
    <t>30x1+60x2&gt;=480</t>
  </si>
  <si>
    <t>40x1+15X2&gt;=240</t>
  </si>
  <si>
    <t>x1&gt;=6</t>
  </si>
  <si>
    <t>x2&gt;=2</t>
  </si>
  <si>
    <t>1*X1+4*X2&lt;=8000</t>
  </si>
  <si>
    <t>6.Metoda geometryczna w rozwiązaniu modelu decyzyjnego</t>
  </si>
  <si>
    <t>x1 i x2&gt;=0 czyli rozwiązanie w 1 ćwartce układu wspólrzędnych</t>
  </si>
  <si>
    <t>Zamiana nierówności warunków ograniczjących na równania</t>
  </si>
  <si>
    <t>RWO1</t>
  </si>
  <si>
    <t>1X1+4X2=8000</t>
  </si>
  <si>
    <t>podstawić 0 za x1 potem za x2</t>
  </si>
  <si>
    <t>RWO2</t>
  </si>
  <si>
    <t>3X1+2X2=9000</t>
  </si>
  <si>
    <t>Część wspólna z warunków brzegowych i ograniczjących jest rozwiązaniem dopuszczalnym</t>
  </si>
  <si>
    <t>Wykres</t>
  </si>
  <si>
    <t>Zbiór rozwiązań dopuszczalnych</t>
  </si>
  <si>
    <t>6.2</t>
  </si>
  <si>
    <t>Wykreślenie i przesunięcie izokwanty FC w kierunku optimum(MAX) z zachowaniem styczności ze zbiorem rozwiązań dopuszczalnych</t>
  </si>
  <si>
    <t>izoFC=</t>
  </si>
  <si>
    <t>200*X1+400*X2 =8000</t>
  </si>
  <si>
    <t>dowolna wartość np. z przemnorzenia plus jedno zero</t>
  </si>
  <si>
    <t>6.3</t>
  </si>
  <si>
    <t>Odczytanie z wykresu lub wyznaczenie matematyczne rozwiązania optymalnego</t>
  </si>
  <si>
    <t>X1=</t>
  </si>
  <si>
    <t>X2=</t>
  </si>
  <si>
    <t>Z wykresu odczytane</t>
  </si>
  <si>
    <t>Z układu równań część wspólna RWO1 i RWO2</t>
  </si>
  <si>
    <t>Z wzorów Cramera</t>
  </si>
  <si>
    <t>A=</t>
  </si>
  <si>
    <t>B=</t>
  </si>
  <si>
    <t>A1=</t>
  </si>
  <si>
    <t>A2=</t>
  </si>
  <si>
    <t>Nastęnie policzyć wyznaczniki tych macierzy</t>
  </si>
  <si>
    <t>detA=</t>
  </si>
  <si>
    <t>detA1=</t>
  </si>
  <si>
    <t>detA2=</t>
  </si>
  <si>
    <t>x1=</t>
  </si>
  <si>
    <t>detA1/detA</t>
  </si>
  <si>
    <t>x2=</t>
  </si>
  <si>
    <t>detA2/detA</t>
  </si>
  <si>
    <t>ilość produkcji w1</t>
  </si>
  <si>
    <t>ilość produkcji w2</t>
  </si>
  <si>
    <t>6.4</t>
  </si>
  <si>
    <t>Określenie funkcji celu w rozwiązaniu optymalnym</t>
  </si>
  <si>
    <t>optFC=</t>
  </si>
  <si>
    <t>optymalny maksymalny zysk z wyrobów W1 oraz W2</t>
  </si>
  <si>
    <t>6.5</t>
  </si>
  <si>
    <t>Wykreślenie optFc na wykresie</t>
  </si>
  <si>
    <t>6.1</t>
  </si>
  <si>
    <t>x1 i x2&gt;=0 więc 1 ćwiartka</t>
  </si>
  <si>
    <t>RWO1:</t>
  </si>
  <si>
    <t>RWO2:</t>
  </si>
  <si>
    <t>0,02*x2+0,005&lt;=2</t>
  </si>
  <si>
    <t>RWO3:</t>
  </si>
  <si>
    <t>a31</t>
  </si>
  <si>
    <t>a32</t>
  </si>
  <si>
    <t>izoFC</t>
  </si>
  <si>
    <t>opt:</t>
  </si>
  <si>
    <t>100*60+30*0</t>
  </si>
  <si>
    <t>Cramer pomnięty odczytane z wykresu</t>
  </si>
  <si>
    <t>1 ćwiartka</t>
  </si>
  <si>
    <t>Rwo1:</t>
  </si>
  <si>
    <t>RWoO3:</t>
  </si>
  <si>
    <t>izoFc=</t>
  </si>
  <si>
    <t>W razie co cramer</t>
  </si>
  <si>
    <t>10x1+x2=100</t>
  </si>
  <si>
    <t>X1+10x2=100</t>
  </si>
  <si>
    <t>RWO3</t>
  </si>
  <si>
    <t>10x1+10x2=300</t>
  </si>
  <si>
    <t>izo fc</t>
  </si>
  <si>
    <t>5x1+8x2-&gt;min</t>
  </si>
  <si>
    <t>Cramer</t>
  </si>
  <si>
    <t>X1+10x2=200</t>
  </si>
  <si>
    <t>DetA1=</t>
  </si>
  <si>
    <t>DetA2=</t>
  </si>
  <si>
    <t>DetA=</t>
  </si>
  <si>
    <t>optFC</t>
  </si>
  <si>
    <t>OPTFC</t>
  </si>
  <si>
    <t>5x1+8x2=193,94</t>
  </si>
  <si>
    <t>30x1+60x2=480</t>
  </si>
  <si>
    <t>40x1+15x2=240</t>
  </si>
  <si>
    <t>5x1+10x2</t>
  </si>
  <si>
    <t>WB</t>
  </si>
  <si>
    <t>Wb1</t>
  </si>
  <si>
    <t>dpwolna wartosc</t>
  </si>
  <si>
    <t>wb2</t>
  </si>
  <si>
    <t>tu coś nie gra</t>
  </si>
  <si>
    <t>Z1</t>
  </si>
  <si>
    <t>Zap</t>
  </si>
  <si>
    <t>Z2</t>
  </si>
  <si>
    <t>Wapn</t>
  </si>
  <si>
    <t>Proteiny</t>
  </si>
  <si>
    <t>Wit A</t>
  </si>
  <si>
    <t>Cena</t>
  </si>
  <si>
    <t>c1*x1+c2*x2``min</t>
  </si>
  <si>
    <t>WB:x1,x2&gt;=0</t>
  </si>
  <si>
    <t>WO1</t>
  </si>
  <si>
    <t>WO2</t>
  </si>
  <si>
    <t>WO3</t>
  </si>
  <si>
    <t>10x1+4x2&gt;=20</t>
  </si>
  <si>
    <t>5x1+5x2&gt;=20</t>
  </si>
  <si>
    <t>2x1+6x2&gt;=12</t>
  </si>
  <si>
    <t>IzoFC</t>
  </si>
  <si>
    <t>Fc=</t>
  </si>
  <si>
    <t>OptFc=</t>
  </si>
  <si>
    <t>0,6*x1+1*x2=2,80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</si>
</sst>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16" fontId="0" fillId="0" borderId="0" xfId="0" quotePrefix="1" applyNumberFormat="1"/>
    <xf numFmtId="0" fontId="0" fillId="3" borderId="0" xfId="0" applyFill="1"/>
    <xf numFmtId="0" fontId="0" fillId="0" borderId="0" xfId="0" quotePrefix="1"/>
    <xf numFmtId="0" fontId="0" fillId="0" borderId="0" xfId="0" quotePrefix="1" applyAlignment="1">
      <alignment horizontal="center"/>
    </xf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6" borderId="0" xfId="0" applyFont="1" applyFill="1"/>
    <xf numFmtId="164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Metoda</a:t>
            </a:r>
            <a:r>
              <a:rPr lang="pl-PL" baseline="0"/>
              <a:t> Geometryczna zad.</a:t>
            </a:r>
            <a:r>
              <a:rPr lang="en-US"/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WO1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'Z1'!$G$24:$G$25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'Z1'!$H$24:$H$25</c:f>
              <c:numCache>
                <c:formatCode>General</c:formatCode>
                <c:ptCount val="2"/>
                <c:pt idx="0">
                  <c:v>2000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4-4174-A83D-B4F56B94642F}"/>
            </c:ext>
          </c:extLst>
        </c:ser>
        <c:ser>
          <c:idx val="1"/>
          <c:order val="1"/>
          <c:tx>
            <c:v>WO2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'Z1'!$G$28:$G$29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xVal>
          <c:yVal>
            <c:numRef>
              <c:f>'Z1'!$H$28:$H$29</c:f>
              <c:numCache>
                <c:formatCode>General</c:formatCode>
                <c:ptCount val="2"/>
                <c:pt idx="0">
                  <c:v>4500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D4-4174-A83D-B4F56B94642F}"/>
            </c:ext>
          </c:extLst>
        </c:ser>
        <c:ser>
          <c:idx val="2"/>
          <c:order val="2"/>
          <c:tx>
            <c:v>izoFC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'Z1'!$H$50:$H$51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'Z1'!$I$50:$I$51</c:f>
              <c:numCache>
                <c:formatCode>General</c:formatCode>
                <c:ptCount val="2"/>
                <c:pt idx="0">
                  <c:v>2000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D4-4174-A83D-B4F56B94642F}"/>
            </c:ext>
          </c:extLst>
        </c:ser>
        <c:ser>
          <c:idx val="3"/>
          <c:order val="3"/>
          <c:tx>
            <c:v>optFC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'Z1'!$F$79:$F$80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'Z1'!$G$79:$G$80</c:f>
              <c:numCache>
                <c:formatCode>General</c:formatCode>
                <c:ptCount val="2"/>
                <c:pt idx="0">
                  <c:v>2500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D4-4174-A83D-B4F56B946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751536"/>
        <c:axId val="399753616"/>
      </c:scatterChart>
      <c:valAx>
        <c:axId val="39975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X1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9753616"/>
        <c:crosses val="autoZero"/>
        <c:crossBetween val="midCat"/>
      </c:valAx>
      <c:valAx>
        <c:axId val="3997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9751536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23730367037448"/>
          <c:y val="0.40409595996762093"/>
          <c:w val="0.13779506460406277"/>
          <c:h val="0.370678047451646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Zad2.</a:t>
            </a:r>
          </a:p>
        </c:rich>
      </c:tx>
      <c:layout>
        <c:manualLayout>
          <c:xMode val="edge"/>
          <c:yMode val="edge"/>
          <c:x val="0.3853541119860017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RWO1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'Z2'!$E$17:$E$18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'Z2'!$F$17:$F$18</c:f>
              <c:numCache>
                <c:formatCode>General</c:formatCode>
                <c:ptCount val="2"/>
                <c:pt idx="0">
                  <c:v>1000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05-4CB3-A8DE-C1BBCCB51F34}"/>
            </c:ext>
          </c:extLst>
        </c:ser>
        <c:ser>
          <c:idx val="2"/>
          <c:order val="1"/>
          <c:tx>
            <c:v>RWO2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'Z2'!$E$22:$E$23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'Z2'!$F$22:$F$23</c:f>
              <c:numCache>
                <c:formatCode>General</c:formatCode>
                <c:ptCount val="2"/>
                <c:pt idx="0">
                  <c:v>400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05-4CB3-A8DE-C1BBCCB51F34}"/>
            </c:ext>
          </c:extLst>
        </c:ser>
        <c:ser>
          <c:idx val="3"/>
          <c:order val="2"/>
          <c:tx>
            <c:v>RWO3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'Z2'!$E$27:$E$28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'Z2'!$F$27:$F$28</c:f>
              <c:numCache>
                <c:formatCode>General</c:formatCode>
                <c:ptCount val="2"/>
                <c:pt idx="0">
                  <c:v>90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05-4CB3-A8DE-C1BBCCB51F34}"/>
            </c:ext>
          </c:extLst>
        </c:ser>
        <c:ser>
          <c:idx val="4"/>
          <c:order val="3"/>
          <c:tx>
            <c:v>izoFC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'Z2'!$F$45:$F$46</c:f>
              <c:numCache>
                <c:formatCode>General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xVal>
          <c:yVal>
            <c:numRef>
              <c:f>'Z2'!$G$45:$G$46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05-4CB3-A8DE-C1BBCCB51F34}"/>
            </c:ext>
          </c:extLst>
        </c:ser>
        <c:ser>
          <c:idx val="0"/>
          <c:order val="4"/>
          <c:tx>
            <c:v>optFc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'Z2'!$F$53:$F$54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'Z2'!$G$53:$G$54</c:f>
              <c:numCache>
                <c:formatCode>General</c:formatCode>
                <c:ptCount val="2"/>
                <c:pt idx="0">
                  <c:v>200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505-4CB3-A8DE-C1BBCCB51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930432"/>
        <c:axId val="990934176"/>
      </c:scatterChart>
      <c:valAx>
        <c:axId val="99093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450047009049242"/>
              <c:y val="0.873221870488249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0934176"/>
        <c:crosses val="autoZero"/>
        <c:crossBetween val="midCat"/>
      </c:valAx>
      <c:valAx>
        <c:axId val="9909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0930432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RWO1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'Z3'!$F$16:$F$17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xVal>
          <c:yVal>
            <c:numRef>
              <c:f>'Z3'!$G$16:$G$17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3A-4730-BF6C-DF34CE4AC0E8}"/>
            </c:ext>
          </c:extLst>
        </c:ser>
        <c:ser>
          <c:idx val="1"/>
          <c:order val="1"/>
          <c:tx>
            <c:v>RWO2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'Z3'!$F$22:$F$23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'Z3'!$G$22:$G$23</c:f>
              <c:numCache>
                <c:formatCode>General</c:formatCode>
                <c:ptCount val="2"/>
                <c:pt idx="0">
                  <c:v>70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3A-4730-BF6C-DF34CE4AC0E8}"/>
            </c:ext>
          </c:extLst>
        </c:ser>
        <c:ser>
          <c:idx val="2"/>
          <c:order val="2"/>
          <c:tx>
            <c:v>RWO3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'Z3'!$F$26:$F$27</c:f>
              <c:numCache>
                <c:formatCode>General</c:formatCode>
                <c:ptCount val="2"/>
                <c:pt idx="0">
                  <c:v>0</c:v>
                </c:pt>
                <c:pt idx="1">
                  <c:v>225</c:v>
                </c:pt>
              </c:numCache>
            </c:numRef>
          </c:xVal>
          <c:yVal>
            <c:numRef>
              <c:f>'Z3'!$G$26:$G$27</c:f>
              <c:numCache>
                <c:formatCode>General</c:formatCode>
                <c:ptCount val="2"/>
                <c:pt idx="0">
                  <c:v>150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3A-4730-BF6C-DF34CE4AC0E8}"/>
            </c:ext>
          </c:extLst>
        </c:ser>
        <c:ser>
          <c:idx val="3"/>
          <c:order val="3"/>
          <c:tx>
            <c:v>izoFC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'Z3'!$E$46:$E$47</c:f>
              <c:numCache>
                <c:formatCode>General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xVal>
          <c:yVal>
            <c:numRef>
              <c:f>'Z3'!$F$46:$F$47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3A-4730-BF6C-DF34CE4AC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930432"/>
        <c:axId val="990941248"/>
      </c:scatterChart>
      <c:valAx>
        <c:axId val="99093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0941248"/>
        <c:crosses val="autoZero"/>
        <c:crossBetween val="midCat"/>
        <c:majorUnit val="20"/>
      </c:valAx>
      <c:valAx>
        <c:axId val="99094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093043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Metoda</a:t>
            </a:r>
            <a:r>
              <a:rPr lang="pl-PL" baseline="0"/>
              <a:t> gemoetryczna zad1. min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RWO1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Z1min!$E$19:$E$20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Z1min!$F$19:$F$20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E2-497C-BD1A-CE7839E18BDF}"/>
            </c:ext>
          </c:extLst>
        </c:ser>
        <c:ser>
          <c:idx val="1"/>
          <c:order val="1"/>
          <c:tx>
            <c:v>RWO2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Z1min!$F$23:$F$24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Z1min!$G$23:$G$24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E2-497C-BD1A-CE7839E18BDF}"/>
            </c:ext>
          </c:extLst>
        </c:ser>
        <c:ser>
          <c:idx val="2"/>
          <c:order val="2"/>
          <c:tx>
            <c:v>RWO3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Z1min!$F$27:$F$28</c:f>
              <c:numCache>
                <c:formatCode>General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xVal>
          <c:yVal>
            <c:numRef>
              <c:f>Z1min!$G$27:$G$28</c:f>
              <c:numCache>
                <c:formatCode>General</c:formatCode>
                <c:ptCount val="2"/>
                <c:pt idx="0">
                  <c:v>30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E2-497C-BD1A-CE7839E18BDF}"/>
            </c:ext>
          </c:extLst>
        </c:ser>
        <c:ser>
          <c:idx val="3"/>
          <c:order val="3"/>
          <c:tx>
            <c:v>IZOFC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Z1min!$F$32:$F$33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Z1min!$G$32:$G$33</c:f>
              <c:numCache>
                <c:formatCode>General</c:formatCode>
                <c:ptCount val="2"/>
                <c:pt idx="0">
                  <c:v>50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E2-497C-BD1A-CE7839E18BDF}"/>
            </c:ext>
          </c:extLst>
        </c:ser>
        <c:ser>
          <c:idx val="4"/>
          <c:order val="4"/>
          <c:tx>
            <c:v>OPTFC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Z1min!$I$48:$I$49</c:f>
              <c:numCache>
                <c:formatCode>General</c:formatCode>
                <c:ptCount val="2"/>
                <c:pt idx="0">
                  <c:v>0</c:v>
                </c:pt>
                <c:pt idx="1">
                  <c:v>38.787999999999997</c:v>
                </c:pt>
              </c:numCache>
            </c:numRef>
          </c:xVal>
          <c:yVal>
            <c:numRef>
              <c:f>Z1min!$J$48:$J$49</c:f>
              <c:numCache>
                <c:formatCode>General</c:formatCode>
                <c:ptCount val="2"/>
                <c:pt idx="0">
                  <c:v>24.2425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E2-497C-BD1A-CE7839E18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360848"/>
        <c:axId val="735028336"/>
      </c:scatterChart>
      <c:valAx>
        <c:axId val="86136084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X1-ilość karmy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5028336"/>
        <c:crosses val="autoZero"/>
        <c:crossBetween val="midCat"/>
        <c:majorUnit val="10"/>
      </c:valAx>
      <c:valAx>
        <c:axId val="7350283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X2-ilość</a:t>
                </a:r>
                <a:r>
                  <a:rPr lang="pl-PL" baseline="0"/>
                  <a:t> karmy2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36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Zadanie</a:t>
            </a:r>
            <a:r>
              <a:rPr lang="pl-PL" baseline="0"/>
              <a:t> 2min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RWO1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Z2min!$E$21:$E$22</c:f>
              <c:numCache>
                <c:formatCode>General</c:formatCode>
                <c:ptCount val="2"/>
                <c:pt idx="0">
                  <c:v>0</c:v>
                </c:pt>
                <c:pt idx="1">
                  <c:v>16</c:v>
                </c:pt>
              </c:numCache>
            </c:numRef>
          </c:xVal>
          <c:yVal>
            <c:numRef>
              <c:f>Z2min!$F$21:$F$22</c:f>
              <c:numCache>
                <c:formatCode>General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4B-4BE8-9A13-600D20E05576}"/>
            </c:ext>
          </c:extLst>
        </c:ser>
        <c:ser>
          <c:idx val="1"/>
          <c:order val="1"/>
          <c:tx>
            <c:v>RWO2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Z2min!$E$25:$E$26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Z2min!$F$25:$F$26</c:f>
              <c:numCache>
                <c:formatCode>General</c:formatCode>
                <c:ptCount val="2"/>
                <c:pt idx="0">
                  <c:v>16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4B-4BE8-9A13-600D20E05576}"/>
            </c:ext>
          </c:extLst>
        </c:ser>
        <c:ser>
          <c:idx val="2"/>
          <c:order val="2"/>
          <c:tx>
            <c:v>IZOFC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Z2min!$E$29:$E$30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Z2min!$F$29:$F$30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4B-4BE8-9A13-600D20E05576}"/>
            </c:ext>
          </c:extLst>
        </c:ser>
        <c:ser>
          <c:idx val="4"/>
          <c:order val="3"/>
          <c:tx>
            <c:v>WB1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Z2min!$J$31:$J$32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xVal>
          <c:yVal>
            <c:numRef>
              <c:f>Z2min!$K$31:$K$32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94B-4BE8-9A13-600D20E05576}"/>
            </c:ext>
          </c:extLst>
        </c:ser>
        <c:ser>
          <c:idx val="5"/>
          <c:order val="4"/>
          <c:tx>
            <c:v>WB2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Z2min!$J$34:$J$35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Z2min!$K$34:$K$35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94B-4BE8-9A13-600D20E05576}"/>
            </c:ext>
          </c:extLst>
        </c:ser>
        <c:ser>
          <c:idx val="3"/>
          <c:order val="5"/>
          <c:tx>
            <c:v>OPTFC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Z2min!$P$37:$P$38</c:f>
              <c:numCache>
                <c:formatCode>General</c:formatCode>
                <c:ptCount val="2"/>
                <c:pt idx="0">
                  <c:v>0</c:v>
                </c:pt>
                <c:pt idx="1">
                  <c:v>16</c:v>
                </c:pt>
              </c:numCache>
            </c:numRef>
          </c:xVal>
          <c:yVal>
            <c:numRef>
              <c:f>Z2min!$Q$37:$Q$38</c:f>
              <c:numCache>
                <c:formatCode>General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94B-4BE8-9A13-600D20E05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383072"/>
        <c:axId val="742385152"/>
      </c:scatterChart>
      <c:valAx>
        <c:axId val="74238307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P1</a:t>
                </a:r>
              </a:p>
            </c:rich>
          </c:tx>
          <c:layout>
            <c:manualLayout>
              <c:xMode val="edge"/>
              <c:yMode val="edge"/>
              <c:x val="0.46582524059492564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2385152"/>
        <c:crosses val="autoZero"/>
        <c:crossBetween val="midCat"/>
        <c:majorUnit val="5"/>
      </c:valAx>
      <c:valAx>
        <c:axId val="74238515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238307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02309061330917E-2"/>
          <c:y val="7.8703703703703706E-2"/>
          <c:w val="0.90286351706036749"/>
          <c:h val="0.73577136191309422"/>
        </c:manualLayout>
      </c:layout>
      <c:scatterChart>
        <c:scatterStyle val="lineMarker"/>
        <c:varyColors val="0"/>
        <c:ser>
          <c:idx val="0"/>
          <c:order val="0"/>
          <c:tx>
            <c:v>RWO1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Z3min!$E$27:$E$28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Z3min!$F$27:$F$28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E4-45E6-9F6B-DBBAD7DE92F2}"/>
            </c:ext>
          </c:extLst>
        </c:ser>
        <c:ser>
          <c:idx val="1"/>
          <c:order val="1"/>
          <c:tx>
            <c:v>RWO2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Z3min!$E$31:$E$32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Z3min!$F$31:$F$32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E4-45E6-9F6B-DBBAD7DE92F2}"/>
            </c:ext>
          </c:extLst>
        </c:ser>
        <c:ser>
          <c:idx val="2"/>
          <c:order val="2"/>
          <c:tx>
            <c:v>RWO3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Z3min!$E$35:$E$36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Z3min!$F$35:$F$36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E4-45E6-9F6B-DBBAD7DE92F2}"/>
            </c:ext>
          </c:extLst>
        </c:ser>
        <c:ser>
          <c:idx val="3"/>
          <c:order val="3"/>
          <c:tx>
            <c:v>IzoFc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Z3min!$E$41:$E$42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Z3min!$F$41:$F$42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E4-45E6-9F6B-DBBAD7DE92F2}"/>
            </c:ext>
          </c:extLst>
        </c:ser>
        <c:ser>
          <c:idx val="4"/>
          <c:order val="4"/>
          <c:tx>
            <c:v>OptFC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Z3min!$K$55:$K$56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4.666666666666667</c:v>
                </c:pt>
              </c:numCache>
            </c:numRef>
          </c:xVal>
          <c:yVal>
            <c:numRef>
              <c:f>Z3min!$L$55:$L$56</c:f>
              <c:numCache>
                <c:formatCode>General</c:formatCode>
                <c:ptCount val="2"/>
                <c:pt idx="0">
                  <c:v>2.8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E4-45E6-9F6B-DBBAD7DE9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911360"/>
        <c:axId val="1371934240"/>
      </c:scatterChart>
      <c:valAx>
        <c:axId val="137191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>
            <c:manualLayout>
              <c:xMode val="edge"/>
              <c:yMode val="edge"/>
              <c:x val="3.8771002041034446E-2"/>
              <c:y val="0.885093146825796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1934240"/>
        <c:crosses val="autoZero"/>
        <c:crossBetween val="midCat"/>
      </c:valAx>
      <c:valAx>
        <c:axId val="137193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191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517503185404995"/>
          <c:y val="0.89183112879225368"/>
          <c:w val="0.59826876844014409"/>
          <c:h val="6.5483578231417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6.xml"/><Relationship Id="rId18" Type="http://schemas.openxmlformats.org/officeDocument/2006/relationships/customXml" Target="../ink/ink9.xml"/><Relationship Id="rId26" Type="http://schemas.openxmlformats.org/officeDocument/2006/relationships/image" Target="../media/image12.png"/><Relationship Id="rId3" Type="http://schemas.openxmlformats.org/officeDocument/2006/relationships/image" Target="../media/image2.png"/><Relationship Id="rId21" Type="http://schemas.openxmlformats.org/officeDocument/2006/relationships/customXml" Target="../ink/ink11.xml"/><Relationship Id="rId7" Type="http://schemas.openxmlformats.org/officeDocument/2006/relationships/customXml" Target="../ink/ink3.xml"/><Relationship Id="rId12" Type="http://schemas.openxmlformats.org/officeDocument/2006/relationships/image" Target="../media/image6.png"/><Relationship Id="rId17" Type="http://schemas.openxmlformats.org/officeDocument/2006/relationships/image" Target="../media/image8.png"/><Relationship Id="rId25" Type="http://schemas.openxmlformats.org/officeDocument/2006/relationships/customXml" Target="../ink/ink13.xml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image" Target="../media/image9.png"/><Relationship Id="rId29" Type="http://schemas.openxmlformats.org/officeDocument/2006/relationships/customXml" Target="../ink/ink15.xm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customXml" Target="../ink/ink5.xml"/><Relationship Id="rId24" Type="http://schemas.openxmlformats.org/officeDocument/2006/relationships/image" Target="../media/image11.png"/><Relationship Id="rId32" Type="http://schemas.openxmlformats.org/officeDocument/2006/relationships/image" Target="../media/image15.png"/><Relationship Id="rId5" Type="http://schemas.openxmlformats.org/officeDocument/2006/relationships/customXml" Target="../ink/ink2.xml"/><Relationship Id="rId15" Type="http://schemas.openxmlformats.org/officeDocument/2006/relationships/image" Target="../media/image7.png"/><Relationship Id="rId23" Type="http://schemas.openxmlformats.org/officeDocument/2006/relationships/customXml" Target="../ink/ink12.xml"/><Relationship Id="rId28" Type="http://schemas.openxmlformats.org/officeDocument/2006/relationships/image" Target="../media/image13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chart" Target="../charts/chart1.xml"/><Relationship Id="rId9" Type="http://schemas.openxmlformats.org/officeDocument/2006/relationships/customXml" Target="../ink/ink4.xml"/><Relationship Id="rId14" Type="http://schemas.openxmlformats.org/officeDocument/2006/relationships/customXml" Target="../ink/ink7.xml"/><Relationship Id="rId22" Type="http://schemas.openxmlformats.org/officeDocument/2006/relationships/image" Target="../media/image10.png"/><Relationship Id="rId27" Type="http://schemas.openxmlformats.org/officeDocument/2006/relationships/customXml" Target="../ink/ink14.xml"/><Relationship Id="rId30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ustomXml" Target="../ink/ink17.xml"/><Relationship Id="rId2" Type="http://schemas.openxmlformats.org/officeDocument/2006/relationships/chart" Target="../charts/chart4.xml"/><Relationship Id="rId1" Type="http://schemas.openxmlformats.org/officeDocument/2006/relationships/image" Target="../media/image18.png"/><Relationship Id="rId6" Type="http://schemas.openxmlformats.org/officeDocument/2006/relationships/image" Target="../media/image20.png"/><Relationship Id="rId5" Type="http://schemas.openxmlformats.org/officeDocument/2006/relationships/customXml" Target="../ink/ink18.xml"/><Relationship Id="rId4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customXml" Target="../ink/ink19.xml"/><Relationship Id="rId7" Type="http://schemas.openxmlformats.org/officeDocument/2006/relationships/customXml" Target="../ink/ink21.xml"/><Relationship Id="rId2" Type="http://schemas.openxmlformats.org/officeDocument/2006/relationships/chart" Target="../charts/chart5.xml"/><Relationship Id="rId1" Type="http://schemas.openxmlformats.org/officeDocument/2006/relationships/image" Target="../media/image21.png"/><Relationship Id="rId6" Type="http://schemas.openxmlformats.org/officeDocument/2006/relationships/image" Target="../media/image23.png"/><Relationship Id="rId5" Type="http://schemas.openxmlformats.org/officeDocument/2006/relationships/customXml" Target="../ink/ink20.xml"/><Relationship Id="rId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425245</xdr:colOff>
      <xdr:row>12</xdr:row>
      <xdr:rowOff>15241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EEB8041-D392-4CD6-A5FF-E1E18C29E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6201204" cy="2209800"/>
        </a:xfrm>
        <a:prstGeom prst="rect">
          <a:avLst/>
        </a:prstGeom>
      </xdr:spPr>
    </xdr:pic>
    <xdr:clientData/>
  </xdr:twoCellAnchor>
  <xdr:twoCellAnchor editAs="oneCell">
    <xdr:from>
      <xdr:col>7</xdr:col>
      <xdr:colOff>327480</xdr:colOff>
      <xdr:row>28</xdr:row>
      <xdr:rowOff>152280</xdr:rowOff>
    </xdr:from>
    <xdr:to>
      <xdr:col>7</xdr:col>
      <xdr:colOff>327840</xdr:colOff>
      <xdr:row>28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8" name="Pismo odręczne 17">
              <a:extLst>
                <a:ext uri="{FF2B5EF4-FFF2-40B4-BE49-F238E27FC236}">
                  <a16:creationId xmlns:a16="http://schemas.microsoft.com/office/drawing/2014/main" id="{2AE06DA8-B1A4-4000-B3D8-F7276B474333}"/>
                </a:ext>
              </a:extLst>
            </xdr14:cNvPr>
            <xdr14:cNvContentPartPr/>
          </xdr14:nvContentPartPr>
          <xdr14:nvPr macro=""/>
          <xdr14:xfrm>
            <a:off x="4594680" y="5272920"/>
            <a:ext cx="360" cy="360"/>
          </xdr14:xfrm>
        </xdr:contentPart>
      </mc:Choice>
      <mc:Fallback xmlns="">
        <xdr:pic>
          <xdr:nvPicPr>
            <xdr:cNvPr id="18" name="Pismo odręczne 17">
              <a:extLst>
                <a:ext uri="{FF2B5EF4-FFF2-40B4-BE49-F238E27FC236}">
                  <a16:creationId xmlns:a16="http://schemas.microsoft.com/office/drawing/2014/main" id="{2AE06DA8-B1A4-4000-B3D8-F7276B47433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585680" y="5264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579120</xdr:colOff>
      <xdr:row>30</xdr:row>
      <xdr:rowOff>11430</xdr:rowOff>
    </xdr:from>
    <xdr:to>
      <xdr:col>10</xdr:col>
      <xdr:colOff>152400</xdr:colOff>
      <xdr:row>42</xdr:row>
      <xdr:rowOff>129540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EAC86BA-C92E-4206-9456-812B03C1D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228480</xdr:colOff>
      <xdr:row>39</xdr:row>
      <xdr:rowOff>7560</xdr:rowOff>
    </xdr:from>
    <xdr:to>
      <xdr:col>4</xdr:col>
      <xdr:colOff>228840</xdr:colOff>
      <xdr:row>39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Pismo odręczne 7">
              <a:extLst>
                <a:ext uri="{FF2B5EF4-FFF2-40B4-BE49-F238E27FC236}">
                  <a16:creationId xmlns:a16="http://schemas.microsoft.com/office/drawing/2014/main" id="{7353C42F-F764-479C-93B6-F532CAADF726}"/>
                </a:ext>
              </a:extLst>
            </xdr14:cNvPr>
            <xdr14:cNvContentPartPr/>
          </xdr14:nvContentPartPr>
          <xdr14:nvPr macro=""/>
          <xdr14:xfrm>
            <a:off x="2666880" y="7139880"/>
            <a:ext cx="360" cy="360"/>
          </xdr14:xfrm>
        </xdr:contentPart>
      </mc:Choice>
      <mc:Fallback xmlns="">
        <xdr:pic>
          <xdr:nvPicPr>
            <xdr:cNvPr id="8" name="Pismo odręczne 7">
              <a:extLst>
                <a:ext uri="{FF2B5EF4-FFF2-40B4-BE49-F238E27FC236}">
                  <a16:creationId xmlns:a16="http://schemas.microsoft.com/office/drawing/2014/main" id="{7353C42F-F764-479C-93B6-F532CAADF72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13240" y="703224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21120</xdr:colOff>
      <xdr:row>37</xdr:row>
      <xdr:rowOff>22680</xdr:rowOff>
    </xdr:from>
    <xdr:to>
      <xdr:col>5</xdr:col>
      <xdr:colOff>169680</xdr:colOff>
      <xdr:row>39</xdr:row>
      <xdr:rowOff>31320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Pismo odręczne 8">
              <a:extLst>
                <a:ext uri="{FF2B5EF4-FFF2-40B4-BE49-F238E27FC236}">
                  <a16:creationId xmlns:a16="http://schemas.microsoft.com/office/drawing/2014/main" id="{3B01BDF6-7244-4B36-AD1F-DE2D9CE393B8}"/>
                </a:ext>
              </a:extLst>
            </xdr14:cNvPr>
            <xdr14:cNvContentPartPr/>
          </xdr14:nvContentPartPr>
          <xdr14:nvPr macro=""/>
          <xdr14:xfrm>
            <a:off x="2459520" y="6789240"/>
            <a:ext cx="758160" cy="374400"/>
          </xdr14:xfrm>
        </xdr:contentPart>
      </mc:Choice>
      <mc:Fallback xmlns="">
        <xdr:pic>
          <xdr:nvPicPr>
            <xdr:cNvPr id="9" name="Pismo odręczne 8">
              <a:extLst>
                <a:ext uri="{FF2B5EF4-FFF2-40B4-BE49-F238E27FC236}">
                  <a16:creationId xmlns:a16="http://schemas.microsoft.com/office/drawing/2014/main" id="{3B01BDF6-7244-4B36-AD1F-DE2D9CE393B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405880" y="6681600"/>
              <a:ext cx="865800" cy="59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45600</xdr:colOff>
      <xdr:row>38</xdr:row>
      <xdr:rowOff>45360</xdr:rowOff>
    </xdr:from>
    <xdr:to>
      <xdr:col>4</xdr:col>
      <xdr:colOff>66480</xdr:colOff>
      <xdr:row>38</xdr:row>
      <xdr:rowOff>45720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" name="Pismo odręczne 11">
              <a:extLst>
                <a:ext uri="{FF2B5EF4-FFF2-40B4-BE49-F238E27FC236}">
                  <a16:creationId xmlns:a16="http://schemas.microsoft.com/office/drawing/2014/main" id="{4FD572A5-3AD9-402B-B1F1-E5C834A37550}"/>
                </a:ext>
              </a:extLst>
            </xdr14:cNvPr>
            <xdr14:cNvContentPartPr/>
          </xdr14:nvContentPartPr>
          <xdr14:nvPr macro=""/>
          <xdr14:xfrm>
            <a:off x="2484000" y="6994800"/>
            <a:ext cx="20880" cy="360"/>
          </xdr14:xfrm>
        </xdr:contentPart>
      </mc:Choice>
      <mc:Fallback xmlns="">
        <xdr:pic>
          <xdr:nvPicPr>
            <xdr:cNvPr id="12" name="Pismo odręczne 11">
              <a:extLst>
                <a:ext uri="{FF2B5EF4-FFF2-40B4-BE49-F238E27FC236}">
                  <a16:creationId xmlns:a16="http://schemas.microsoft.com/office/drawing/2014/main" id="{4FD572A5-3AD9-402B-B1F1-E5C834A3755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475000" y="6986160"/>
              <a:ext cx="385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182760</xdr:colOff>
      <xdr:row>38</xdr:row>
      <xdr:rowOff>45360</xdr:rowOff>
    </xdr:from>
    <xdr:to>
      <xdr:col>4</xdr:col>
      <xdr:colOff>183120</xdr:colOff>
      <xdr:row>38</xdr:row>
      <xdr:rowOff>45720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3" name="Pismo odręczne 12">
              <a:extLst>
                <a:ext uri="{FF2B5EF4-FFF2-40B4-BE49-F238E27FC236}">
                  <a16:creationId xmlns:a16="http://schemas.microsoft.com/office/drawing/2014/main" id="{0676752B-E69A-4E70-8FC7-10F722133D1B}"/>
                </a:ext>
              </a:extLst>
            </xdr14:cNvPr>
            <xdr14:cNvContentPartPr/>
          </xdr14:nvContentPartPr>
          <xdr14:nvPr macro=""/>
          <xdr14:xfrm>
            <a:off x="2621160" y="6994800"/>
            <a:ext cx="360" cy="360"/>
          </xdr14:xfrm>
        </xdr:contentPart>
      </mc:Choice>
      <mc:Fallback xmlns="">
        <xdr:pic>
          <xdr:nvPicPr>
            <xdr:cNvPr id="13" name="Pismo odręczne 12">
              <a:extLst>
                <a:ext uri="{FF2B5EF4-FFF2-40B4-BE49-F238E27FC236}">
                  <a16:creationId xmlns:a16="http://schemas.microsoft.com/office/drawing/2014/main" id="{0676752B-E69A-4E70-8FC7-10F722133D1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612160" y="6986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259080</xdr:colOff>
      <xdr:row>38</xdr:row>
      <xdr:rowOff>53280</xdr:rowOff>
    </xdr:from>
    <xdr:to>
      <xdr:col>4</xdr:col>
      <xdr:colOff>259440</xdr:colOff>
      <xdr:row>38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4" name="Pismo odręczne 13">
              <a:extLst>
                <a:ext uri="{FF2B5EF4-FFF2-40B4-BE49-F238E27FC236}">
                  <a16:creationId xmlns:a16="http://schemas.microsoft.com/office/drawing/2014/main" id="{E11925D2-195B-4E40-9E79-0D69D391FF2D}"/>
                </a:ext>
              </a:extLst>
            </xdr14:cNvPr>
            <xdr14:cNvContentPartPr/>
          </xdr14:nvContentPartPr>
          <xdr14:nvPr macro=""/>
          <xdr14:xfrm>
            <a:off x="2697480" y="7002720"/>
            <a:ext cx="360" cy="360"/>
          </xdr14:xfrm>
        </xdr:contentPart>
      </mc:Choice>
      <mc:Fallback xmlns="">
        <xdr:pic>
          <xdr:nvPicPr>
            <xdr:cNvPr id="14" name="Pismo odręczne 13">
              <a:extLst>
                <a:ext uri="{FF2B5EF4-FFF2-40B4-BE49-F238E27FC236}">
                  <a16:creationId xmlns:a16="http://schemas.microsoft.com/office/drawing/2014/main" id="{E11925D2-195B-4E40-9E79-0D69D391FF2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688480" y="6994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335040</xdr:colOff>
      <xdr:row>38</xdr:row>
      <xdr:rowOff>53280</xdr:rowOff>
    </xdr:from>
    <xdr:to>
      <xdr:col>4</xdr:col>
      <xdr:colOff>338280</xdr:colOff>
      <xdr:row>38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" name="Pismo odręczne 14">
              <a:extLst>
                <a:ext uri="{FF2B5EF4-FFF2-40B4-BE49-F238E27FC236}">
                  <a16:creationId xmlns:a16="http://schemas.microsoft.com/office/drawing/2014/main" id="{A0EBCBE1-F61D-4709-ABB0-BF1BA4275196}"/>
                </a:ext>
              </a:extLst>
            </xdr14:cNvPr>
            <xdr14:cNvContentPartPr/>
          </xdr14:nvContentPartPr>
          <xdr14:nvPr macro=""/>
          <xdr14:xfrm>
            <a:off x="2773440" y="7002720"/>
            <a:ext cx="3240" cy="360"/>
          </xdr14:xfrm>
        </xdr:contentPart>
      </mc:Choice>
      <mc:Fallback xmlns="">
        <xdr:pic>
          <xdr:nvPicPr>
            <xdr:cNvPr id="15" name="Pismo odręczne 14">
              <a:extLst>
                <a:ext uri="{FF2B5EF4-FFF2-40B4-BE49-F238E27FC236}">
                  <a16:creationId xmlns:a16="http://schemas.microsoft.com/office/drawing/2014/main" id="{A0EBCBE1-F61D-4709-ABB0-BF1BA427519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764440" y="6994080"/>
              <a:ext cx="20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411360</xdr:colOff>
      <xdr:row>38</xdr:row>
      <xdr:rowOff>53280</xdr:rowOff>
    </xdr:from>
    <xdr:to>
      <xdr:col>4</xdr:col>
      <xdr:colOff>425400</xdr:colOff>
      <xdr:row>38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Pismo odręczne 15">
              <a:extLst>
                <a:ext uri="{FF2B5EF4-FFF2-40B4-BE49-F238E27FC236}">
                  <a16:creationId xmlns:a16="http://schemas.microsoft.com/office/drawing/2014/main" id="{CE38A395-5D12-4C2B-908C-441580A12301}"/>
                </a:ext>
              </a:extLst>
            </xdr14:cNvPr>
            <xdr14:cNvContentPartPr/>
          </xdr14:nvContentPartPr>
          <xdr14:nvPr macro=""/>
          <xdr14:xfrm>
            <a:off x="2849760" y="7002720"/>
            <a:ext cx="14040" cy="360"/>
          </xdr14:xfrm>
        </xdr:contentPart>
      </mc:Choice>
      <mc:Fallback xmlns="">
        <xdr:pic>
          <xdr:nvPicPr>
            <xdr:cNvPr id="16" name="Pismo odręczne 15">
              <a:extLst>
                <a:ext uri="{FF2B5EF4-FFF2-40B4-BE49-F238E27FC236}">
                  <a16:creationId xmlns:a16="http://schemas.microsoft.com/office/drawing/2014/main" id="{CE38A395-5D12-4C2B-908C-441580A1230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40760" y="6994080"/>
              <a:ext cx="316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556080</xdr:colOff>
      <xdr:row>38</xdr:row>
      <xdr:rowOff>60840</xdr:rowOff>
    </xdr:from>
    <xdr:to>
      <xdr:col>4</xdr:col>
      <xdr:colOff>556440</xdr:colOff>
      <xdr:row>38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Pismo odręczne 16">
              <a:extLst>
                <a:ext uri="{FF2B5EF4-FFF2-40B4-BE49-F238E27FC236}">
                  <a16:creationId xmlns:a16="http://schemas.microsoft.com/office/drawing/2014/main" id="{3FF8BE59-A9DB-4456-9CB0-DCD7BA06142E}"/>
                </a:ext>
              </a:extLst>
            </xdr14:cNvPr>
            <xdr14:cNvContentPartPr/>
          </xdr14:nvContentPartPr>
          <xdr14:nvPr macro=""/>
          <xdr14:xfrm>
            <a:off x="2994480" y="7010280"/>
            <a:ext cx="360" cy="360"/>
          </xdr14:xfrm>
        </xdr:contentPart>
      </mc:Choice>
      <mc:Fallback xmlns="">
        <xdr:pic>
          <xdr:nvPicPr>
            <xdr:cNvPr id="17" name="Pismo odręczne 16">
              <a:extLst>
                <a:ext uri="{FF2B5EF4-FFF2-40B4-BE49-F238E27FC236}">
                  <a16:creationId xmlns:a16="http://schemas.microsoft.com/office/drawing/2014/main" id="{3FF8BE59-A9DB-4456-9CB0-DCD7BA06142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985480" y="7001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7320</xdr:colOff>
      <xdr:row>39</xdr:row>
      <xdr:rowOff>60840</xdr:rowOff>
    </xdr:from>
    <xdr:to>
      <xdr:col>5</xdr:col>
      <xdr:colOff>7680</xdr:colOff>
      <xdr:row>39</xdr:row>
      <xdr:rowOff>64080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3" name="Pismo odręczne 22">
              <a:extLst>
                <a:ext uri="{FF2B5EF4-FFF2-40B4-BE49-F238E27FC236}">
                  <a16:creationId xmlns:a16="http://schemas.microsoft.com/office/drawing/2014/main" id="{912EA01F-5051-423F-AC6F-280C6BFC4987}"/>
                </a:ext>
              </a:extLst>
            </xdr14:cNvPr>
            <xdr14:cNvContentPartPr/>
          </xdr14:nvContentPartPr>
          <xdr14:nvPr macro=""/>
          <xdr14:xfrm>
            <a:off x="3055320" y="7193160"/>
            <a:ext cx="360" cy="3240"/>
          </xdr14:xfrm>
        </xdr:contentPart>
      </mc:Choice>
      <mc:Fallback xmlns="">
        <xdr:pic>
          <xdr:nvPicPr>
            <xdr:cNvPr id="23" name="Pismo odręczne 22">
              <a:extLst>
                <a:ext uri="{FF2B5EF4-FFF2-40B4-BE49-F238E27FC236}">
                  <a16:creationId xmlns:a16="http://schemas.microsoft.com/office/drawing/2014/main" id="{912EA01F-5051-423F-AC6F-280C6BFC498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046320" y="7184520"/>
              <a:ext cx="1800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7320</xdr:colOff>
      <xdr:row>39</xdr:row>
      <xdr:rowOff>16560</xdr:rowOff>
    </xdr:from>
    <xdr:to>
      <xdr:col>5</xdr:col>
      <xdr:colOff>7680</xdr:colOff>
      <xdr:row>39</xdr:row>
      <xdr:rowOff>38160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4" name="Pismo odręczne 23">
              <a:extLst>
                <a:ext uri="{FF2B5EF4-FFF2-40B4-BE49-F238E27FC236}">
                  <a16:creationId xmlns:a16="http://schemas.microsoft.com/office/drawing/2014/main" id="{E664F82E-B122-4724-B1EE-2B252F70BEB2}"/>
                </a:ext>
              </a:extLst>
            </xdr14:cNvPr>
            <xdr14:cNvContentPartPr/>
          </xdr14:nvContentPartPr>
          <xdr14:nvPr macro=""/>
          <xdr14:xfrm>
            <a:off x="3055320" y="7148880"/>
            <a:ext cx="360" cy="21600"/>
          </xdr14:xfrm>
        </xdr:contentPart>
      </mc:Choice>
      <mc:Fallback xmlns="">
        <xdr:pic>
          <xdr:nvPicPr>
            <xdr:cNvPr id="24" name="Pismo odręczne 23">
              <a:extLst>
                <a:ext uri="{FF2B5EF4-FFF2-40B4-BE49-F238E27FC236}">
                  <a16:creationId xmlns:a16="http://schemas.microsoft.com/office/drawing/2014/main" id="{E664F82E-B122-4724-B1EE-2B252F70BEB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046320" y="7139880"/>
              <a:ext cx="1800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586680</xdr:colOff>
      <xdr:row>38</xdr:row>
      <xdr:rowOff>109080</xdr:rowOff>
    </xdr:from>
    <xdr:to>
      <xdr:col>5</xdr:col>
      <xdr:colOff>7680</xdr:colOff>
      <xdr:row>38</xdr:row>
      <xdr:rowOff>140400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7" name="Pismo odręczne 26">
              <a:extLst>
                <a:ext uri="{FF2B5EF4-FFF2-40B4-BE49-F238E27FC236}">
                  <a16:creationId xmlns:a16="http://schemas.microsoft.com/office/drawing/2014/main" id="{3B8ECBAF-5DF4-407D-9914-39FDCE68356D}"/>
                </a:ext>
              </a:extLst>
            </xdr14:cNvPr>
            <xdr14:cNvContentPartPr/>
          </xdr14:nvContentPartPr>
          <xdr14:nvPr macro=""/>
          <xdr14:xfrm>
            <a:off x="3025080" y="7058520"/>
            <a:ext cx="30600" cy="31320"/>
          </xdr14:xfrm>
        </xdr:contentPart>
      </mc:Choice>
      <mc:Fallback xmlns="">
        <xdr:pic>
          <xdr:nvPicPr>
            <xdr:cNvPr id="27" name="Pismo odręczne 26">
              <a:extLst>
                <a:ext uri="{FF2B5EF4-FFF2-40B4-BE49-F238E27FC236}">
                  <a16:creationId xmlns:a16="http://schemas.microsoft.com/office/drawing/2014/main" id="{3B8ECBAF-5DF4-407D-9914-39FDCE68356D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016080" y="7049520"/>
              <a:ext cx="48240" cy="4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601800</xdr:colOff>
      <xdr:row>38</xdr:row>
      <xdr:rowOff>45360</xdr:rowOff>
    </xdr:from>
    <xdr:to>
      <xdr:col>5</xdr:col>
      <xdr:colOff>7680</xdr:colOff>
      <xdr:row>38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8" name="Pismo odręczne 27">
              <a:extLst>
                <a:ext uri="{FF2B5EF4-FFF2-40B4-BE49-F238E27FC236}">
                  <a16:creationId xmlns:a16="http://schemas.microsoft.com/office/drawing/2014/main" id="{4A3F70D5-F9A4-4C69-8CED-4719F02A486E}"/>
                </a:ext>
              </a:extLst>
            </xdr14:cNvPr>
            <xdr14:cNvContentPartPr/>
          </xdr14:nvContentPartPr>
          <xdr14:nvPr macro=""/>
          <xdr14:xfrm>
            <a:off x="3040200" y="6994800"/>
            <a:ext cx="15480" cy="30960"/>
          </xdr14:xfrm>
        </xdr:contentPart>
      </mc:Choice>
      <mc:Fallback xmlns="">
        <xdr:pic>
          <xdr:nvPicPr>
            <xdr:cNvPr id="28" name="Pismo odręczne 27">
              <a:extLst>
                <a:ext uri="{FF2B5EF4-FFF2-40B4-BE49-F238E27FC236}">
                  <a16:creationId xmlns:a16="http://schemas.microsoft.com/office/drawing/2014/main" id="{4A3F70D5-F9A4-4C69-8CED-4719F02A486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031200" y="6986160"/>
              <a:ext cx="33120" cy="48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373380</xdr:colOff>
      <xdr:row>35</xdr:row>
      <xdr:rowOff>114300</xdr:rowOff>
    </xdr:from>
    <xdr:to>
      <xdr:col>7</xdr:col>
      <xdr:colOff>68580</xdr:colOff>
      <xdr:row>40</xdr:row>
      <xdr:rowOff>175260</xdr:rowOff>
    </xdr:to>
    <xdr:cxnSp macro="">
      <xdr:nvCxnSpPr>
        <xdr:cNvPr id="30" name="Łącznik prosty 29">
          <a:extLst>
            <a:ext uri="{FF2B5EF4-FFF2-40B4-BE49-F238E27FC236}">
              <a16:creationId xmlns:a16="http://schemas.microsoft.com/office/drawing/2014/main" id="{10ED5996-A838-4A41-BB9F-73BCD71D2258}"/>
            </a:ext>
          </a:extLst>
        </xdr:cNvPr>
        <xdr:cNvCxnSpPr/>
      </xdr:nvCxnSpPr>
      <xdr:spPr>
        <a:xfrm>
          <a:off x="2202180" y="6515100"/>
          <a:ext cx="2423160" cy="975360"/>
        </a:xfrm>
        <a:prstGeom prst="line">
          <a:avLst/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571200</xdr:colOff>
      <xdr:row>37</xdr:row>
      <xdr:rowOff>91080</xdr:rowOff>
    </xdr:from>
    <xdr:to>
      <xdr:col>4</xdr:col>
      <xdr:colOff>602160</xdr:colOff>
      <xdr:row>37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3" name="Pismo odręczne 42">
              <a:extLst>
                <a:ext uri="{FF2B5EF4-FFF2-40B4-BE49-F238E27FC236}">
                  <a16:creationId xmlns:a16="http://schemas.microsoft.com/office/drawing/2014/main" id="{644928C8-FDA3-4184-87BD-708D63E4EABB}"/>
                </a:ext>
              </a:extLst>
            </xdr14:cNvPr>
            <xdr14:cNvContentPartPr/>
          </xdr14:nvContentPartPr>
          <xdr14:nvPr macro=""/>
          <xdr14:xfrm>
            <a:off x="3009600" y="6857640"/>
            <a:ext cx="30960" cy="8280"/>
          </xdr14:xfrm>
        </xdr:contentPart>
      </mc:Choice>
      <mc:Fallback xmlns="">
        <xdr:pic>
          <xdr:nvPicPr>
            <xdr:cNvPr id="43" name="Pismo odręczne 42">
              <a:extLst>
                <a:ext uri="{FF2B5EF4-FFF2-40B4-BE49-F238E27FC236}">
                  <a16:creationId xmlns:a16="http://schemas.microsoft.com/office/drawing/2014/main" id="{644928C8-FDA3-4184-87BD-708D63E4EABB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991600" y="6840000"/>
              <a:ext cx="6660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583440</xdr:colOff>
      <xdr:row>37</xdr:row>
      <xdr:rowOff>82800</xdr:rowOff>
    </xdr:from>
    <xdr:to>
      <xdr:col>4</xdr:col>
      <xdr:colOff>604680</xdr:colOff>
      <xdr:row>37</xdr:row>
      <xdr:rowOff>107640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4" name="Pismo odręczne 43">
              <a:extLst>
                <a:ext uri="{FF2B5EF4-FFF2-40B4-BE49-F238E27FC236}">
                  <a16:creationId xmlns:a16="http://schemas.microsoft.com/office/drawing/2014/main" id="{314429B7-0A7B-4F6F-805A-DDEC32BF6DBE}"/>
                </a:ext>
              </a:extLst>
            </xdr14:cNvPr>
            <xdr14:cNvContentPartPr/>
          </xdr14:nvContentPartPr>
          <xdr14:nvPr macro=""/>
          <xdr14:xfrm>
            <a:off x="3021840" y="6849360"/>
            <a:ext cx="21240" cy="24840"/>
          </xdr14:xfrm>
        </xdr:contentPart>
      </mc:Choice>
      <mc:Fallback xmlns="">
        <xdr:pic>
          <xdr:nvPicPr>
            <xdr:cNvPr id="44" name="Pismo odręczne 43">
              <a:extLst>
                <a:ext uri="{FF2B5EF4-FFF2-40B4-BE49-F238E27FC236}">
                  <a16:creationId xmlns:a16="http://schemas.microsoft.com/office/drawing/2014/main" id="{314429B7-0A7B-4F6F-805A-DDEC32BF6DB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003840" y="6831720"/>
              <a:ext cx="56880" cy="6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670680</xdr:colOff>
      <xdr:row>37</xdr:row>
      <xdr:rowOff>38520</xdr:rowOff>
    </xdr:from>
    <xdr:to>
      <xdr:col>3</xdr:col>
      <xdr:colOff>891360</xdr:colOff>
      <xdr:row>39</xdr:row>
      <xdr:rowOff>32040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45" name="Pismo odręczne 44">
              <a:extLst>
                <a:ext uri="{FF2B5EF4-FFF2-40B4-BE49-F238E27FC236}">
                  <a16:creationId xmlns:a16="http://schemas.microsoft.com/office/drawing/2014/main" id="{3B38D2B1-AE7F-47FC-AB1E-6C2FD399F913}"/>
                </a:ext>
              </a:extLst>
            </xdr14:cNvPr>
            <xdr14:cNvContentPartPr/>
          </xdr14:nvContentPartPr>
          <xdr14:nvPr macro=""/>
          <xdr14:xfrm>
            <a:off x="2499480" y="6805080"/>
            <a:ext cx="220680" cy="359280"/>
          </xdr14:xfrm>
        </xdr:contentPart>
      </mc:Choice>
      <mc:Fallback xmlns="">
        <xdr:pic>
          <xdr:nvPicPr>
            <xdr:cNvPr id="45" name="Pismo odręczne 44">
              <a:extLst>
                <a:ext uri="{FF2B5EF4-FFF2-40B4-BE49-F238E27FC236}">
                  <a16:creationId xmlns:a16="http://schemas.microsoft.com/office/drawing/2014/main" id="{3B38D2B1-AE7F-47FC-AB1E-6C2FD399F913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445480" y="6697440"/>
              <a:ext cx="328320" cy="574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335281</xdr:colOff>
      <xdr:row>10</xdr:row>
      <xdr:rowOff>153077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D3902481-B852-4296-94CE-D7DC9F58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212080" cy="1981877"/>
        </a:xfrm>
        <a:prstGeom prst="rect">
          <a:avLst/>
        </a:prstGeom>
      </xdr:spPr>
    </xdr:pic>
    <xdr:clientData/>
  </xdr:twoCellAnchor>
  <xdr:twoCellAnchor>
    <xdr:from>
      <xdr:col>0</xdr:col>
      <xdr:colOff>388620</xdr:colOff>
      <xdr:row>28</xdr:row>
      <xdr:rowOff>26670</xdr:rowOff>
    </xdr:from>
    <xdr:to>
      <xdr:col>8</xdr:col>
      <xdr:colOff>106680</xdr:colOff>
      <xdr:row>42</xdr:row>
      <xdr:rowOff>91440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0B0F4CA-B02A-4ABA-828E-ED3686DB8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167640</xdr:colOff>
      <xdr:row>36</xdr:row>
      <xdr:rowOff>175260</xdr:rowOff>
    </xdr:from>
    <xdr:to>
      <xdr:col>4</xdr:col>
      <xdr:colOff>266700</xdr:colOff>
      <xdr:row>41</xdr:row>
      <xdr:rowOff>114300</xdr:rowOff>
    </xdr:to>
    <xdr:cxnSp macro="">
      <xdr:nvCxnSpPr>
        <xdr:cNvPr id="7" name="Łącznik prosty 6">
          <a:extLst>
            <a:ext uri="{FF2B5EF4-FFF2-40B4-BE49-F238E27FC236}">
              <a16:creationId xmlns:a16="http://schemas.microsoft.com/office/drawing/2014/main" id="{B669FE65-BCB1-40A3-B2C5-79F65CC13E20}"/>
            </a:ext>
          </a:extLst>
        </xdr:cNvPr>
        <xdr:cNvCxnSpPr/>
      </xdr:nvCxnSpPr>
      <xdr:spPr>
        <a:xfrm>
          <a:off x="777240" y="6758940"/>
          <a:ext cx="1927860" cy="8534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8</xdr:col>
      <xdr:colOff>376821</xdr:colOff>
      <xdr:row>11</xdr:row>
      <xdr:rowOff>129541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12119AC5-8BEB-44F5-873D-159D4311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573660" cy="2141220"/>
        </a:xfrm>
        <a:prstGeom prst="rect">
          <a:avLst/>
        </a:prstGeom>
      </xdr:spPr>
    </xdr:pic>
    <xdr:clientData/>
  </xdr:twoCellAnchor>
  <xdr:twoCellAnchor>
    <xdr:from>
      <xdr:col>0</xdr:col>
      <xdr:colOff>525780</xdr:colOff>
      <xdr:row>27</xdr:row>
      <xdr:rowOff>95250</xdr:rowOff>
    </xdr:from>
    <xdr:to>
      <xdr:col>8</xdr:col>
      <xdr:colOff>220980</xdr:colOff>
      <xdr:row>42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DC42269-DAA8-446B-99B7-3C60C59C8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198120</xdr:colOff>
      <xdr:row>33</xdr:row>
      <xdr:rowOff>38100</xdr:rowOff>
    </xdr:from>
    <xdr:to>
      <xdr:col>5</xdr:col>
      <xdr:colOff>144780</xdr:colOff>
      <xdr:row>42</xdr:row>
      <xdr:rowOff>129540</xdr:rowOff>
    </xdr:to>
    <xdr:cxnSp macro="">
      <xdr:nvCxnSpPr>
        <xdr:cNvPr id="5" name="Łącznik prosty 4">
          <a:extLst>
            <a:ext uri="{FF2B5EF4-FFF2-40B4-BE49-F238E27FC236}">
              <a16:creationId xmlns:a16="http://schemas.microsoft.com/office/drawing/2014/main" id="{791FE994-928B-48A3-9737-0D154F713D29}"/>
            </a:ext>
          </a:extLst>
        </xdr:cNvPr>
        <xdr:cNvCxnSpPr/>
      </xdr:nvCxnSpPr>
      <xdr:spPr>
        <a:xfrm>
          <a:off x="807720" y="6073140"/>
          <a:ext cx="2385060" cy="17373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450762</xdr:colOff>
      <xdr:row>10</xdr:row>
      <xdr:rowOff>83820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D077FCD-646A-439A-BEC3-A189454DF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27562" cy="1912620"/>
        </a:xfrm>
        <a:prstGeom prst="rect">
          <a:avLst/>
        </a:prstGeom>
      </xdr:spPr>
    </xdr:pic>
    <xdr:clientData/>
  </xdr:twoCellAnchor>
  <xdr:twoCellAnchor>
    <xdr:from>
      <xdr:col>7</xdr:col>
      <xdr:colOff>441960</xdr:colOff>
      <xdr:row>11</xdr:row>
      <xdr:rowOff>137160</xdr:rowOff>
    </xdr:from>
    <xdr:to>
      <xdr:col>18</xdr:col>
      <xdr:colOff>0</xdr:colOff>
      <xdr:row>31</xdr:row>
      <xdr:rowOff>87630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CF5CF0F-8720-43CB-9509-6BFA8ADF7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601680</xdr:colOff>
      <xdr:row>25</xdr:row>
      <xdr:rowOff>152280</xdr:rowOff>
    </xdr:from>
    <xdr:to>
      <xdr:col>9</xdr:col>
      <xdr:colOff>9360</xdr:colOff>
      <xdr:row>25</xdr:row>
      <xdr:rowOff>164160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Pismo odręczne 3">
              <a:extLst>
                <a:ext uri="{FF2B5EF4-FFF2-40B4-BE49-F238E27FC236}">
                  <a16:creationId xmlns:a16="http://schemas.microsoft.com/office/drawing/2014/main" id="{89BA3383-D136-4537-A027-768E0ED3631F}"/>
                </a:ext>
              </a:extLst>
            </xdr14:cNvPr>
            <xdr14:cNvContentPartPr/>
          </xdr14:nvContentPartPr>
          <xdr14:nvPr macro=""/>
          <xdr14:xfrm>
            <a:off x="5478480" y="4724280"/>
            <a:ext cx="17280" cy="11880"/>
          </xdr14:xfrm>
        </xdr:contentPart>
      </mc:Choice>
      <mc:Fallback>
        <xdr:pic>
          <xdr:nvPicPr>
            <xdr:cNvPr id="4" name="Pismo odręczne 3">
              <a:extLst>
                <a:ext uri="{FF2B5EF4-FFF2-40B4-BE49-F238E27FC236}">
                  <a16:creationId xmlns:a16="http://schemas.microsoft.com/office/drawing/2014/main" id="{89BA3383-D136-4537-A027-768E0ED3631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424840" y="4616640"/>
              <a:ext cx="12492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319800</xdr:colOff>
      <xdr:row>18</xdr:row>
      <xdr:rowOff>182520</xdr:rowOff>
    </xdr:from>
    <xdr:to>
      <xdr:col>8</xdr:col>
      <xdr:colOff>320160</xdr:colOff>
      <xdr:row>19</xdr:row>
      <xdr:rowOff>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Pismo odręczne 4">
              <a:extLst>
                <a:ext uri="{FF2B5EF4-FFF2-40B4-BE49-F238E27FC236}">
                  <a16:creationId xmlns:a16="http://schemas.microsoft.com/office/drawing/2014/main" id="{B04D36A3-9D67-44F1-82C8-3E0BB14AFCF1}"/>
                </a:ext>
              </a:extLst>
            </xdr14:cNvPr>
            <xdr14:cNvContentPartPr/>
          </xdr14:nvContentPartPr>
          <xdr14:nvPr macro=""/>
          <xdr14:xfrm>
            <a:off x="5196600" y="3474360"/>
            <a:ext cx="360" cy="360"/>
          </xdr14:xfrm>
        </xdr:contentPart>
      </mc:Choice>
      <mc:Fallback>
        <xdr:pic>
          <xdr:nvPicPr>
            <xdr:cNvPr id="5" name="Pismo odręczne 4">
              <a:extLst>
                <a:ext uri="{FF2B5EF4-FFF2-40B4-BE49-F238E27FC236}">
                  <a16:creationId xmlns:a16="http://schemas.microsoft.com/office/drawing/2014/main" id="{B04D36A3-9D67-44F1-82C8-3E0BB14AFCF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142600" y="33667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541020</xdr:colOff>
      <xdr:row>23</xdr:row>
      <xdr:rowOff>0</xdr:rowOff>
    </xdr:from>
    <xdr:to>
      <xdr:col>12</xdr:col>
      <xdr:colOff>38100</xdr:colOff>
      <xdr:row>32</xdr:row>
      <xdr:rowOff>114300</xdr:rowOff>
    </xdr:to>
    <xdr:cxnSp macro="">
      <xdr:nvCxnSpPr>
        <xdr:cNvPr id="7" name="Łącznik prosty 6">
          <a:extLst>
            <a:ext uri="{FF2B5EF4-FFF2-40B4-BE49-F238E27FC236}">
              <a16:creationId xmlns:a16="http://schemas.microsoft.com/office/drawing/2014/main" id="{E7C08419-B195-4A03-BA4B-3252B92F728D}"/>
            </a:ext>
          </a:extLst>
        </xdr:cNvPr>
        <xdr:cNvCxnSpPr/>
      </xdr:nvCxnSpPr>
      <xdr:spPr>
        <a:xfrm>
          <a:off x="4808220" y="4206240"/>
          <a:ext cx="2545080" cy="1760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213608</xdr:colOff>
      <xdr:row>12</xdr:row>
      <xdr:rowOff>106681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EB04350-4F2B-4C1C-B7CA-76EDAF7ED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309608" cy="2301240"/>
        </a:xfrm>
        <a:prstGeom prst="rect">
          <a:avLst/>
        </a:prstGeom>
      </xdr:spPr>
    </xdr:pic>
    <xdr:clientData/>
  </xdr:twoCellAnchor>
  <xdr:twoCellAnchor>
    <xdr:from>
      <xdr:col>6</xdr:col>
      <xdr:colOff>434340</xdr:colOff>
      <xdr:row>13</xdr:row>
      <xdr:rowOff>72390</xdr:rowOff>
    </xdr:from>
    <xdr:to>
      <xdr:col>15</xdr:col>
      <xdr:colOff>350520</xdr:colOff>
      <xdr:row>29</xdr:row>
      <xdr:rowOff>22860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BD8AA70-73A2-4B5B-A374-C4E59747F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357240</xdr:colOff>
      <xdr:row>20</xdr:row>
      <xdr:rowOff>182520</xdr:rowOff>
    </xdr:from>
    <xdr:to>
      <xdr:col>10</xdr:col>
      <xdr:colOff>403080</xdr:colOff>
      <xdr:row>23</xdr:row>
      <xdr:rowOff>123480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Pismo odręczne 3">
              <a:extLst>
                <a:ext uri="{FF2B5EF4-FFF2-40B4-BE49-F238E27FC236}">
                  <a16:creationId xmlns:a16="http://schemas.microsoft.com/office/drawing/2014/main" id="{3C494813-061C-4D85-BCFC-9EBD68B63082}"/>
                </a:ext>
              </a:extLst>
            </xdr14:cNvPr>
            <xdr14:cNvContentPartPr/>
          </xdr14:nvContentPartPr>
          <xdr14:nvPr macro=""/>
          <xdr14:xfrm>
            <a:off x="5234040" y="3840120"/>
            <a:ext cx="1265040" cy="489600"/>
          </xdr14:xfrm>
        </xdr:contentPart>
      </mc:Choice>
      <mc:Fallback>
        <xdr:pic>
          <xdr:nvPicPr>
            <xdr:cNvPr id="4" name="Pismo odręczne 3">
              <a:extLst>
                <a:ext uri="{FF2B5EF4-FFF2-40B4-BE49-F238E27FC236}">
                  <a16:creationId xmlns:a16="http://schemas.microsoft.com/office/drawing/2014/main" id="{3C494813-061C-4D85-BCFC-9EBD68B6308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180040" y="3732480"/>
              <a:ext cx="1372680" cy="70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395400</xdr:colOff>
      <xdr:row>20</xdr:row>
      <xdr:rowOff>136080</xdr:rowOff>
    </xdr:from>
    <xdr:to>
      <xdr:col>10</xdr:col>
      <xdr:colOff>421080</xdr:colOff>
      <xdr:row>22</xdr:row>
      <xdr:rowOff>122760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Pismo odręczne 4">
              <a:extLst>
                <a:ext uri="{FF2B5EF4-FFF2-40B4-BE49-F238E27FC236}">
                  <a16:creationId xmlns:a16="http://schemas.microsoft.com/office/drawing/2014/main" id="{DF9EDA38-BE31-443E-AD33-C29B5C9D90A9}"/>
                </a:ext>
              </a:extLst>
            </xdr14:cNvPr>
            <xdr14:cNvContentPartPr/>
          </xdr14:nvContentPartPr>
          <xdr14:nvPr macro=""/>
          <xdr14:xfrm>
            <a:off x="5272200" y="3793680"/>
            <a:ext cx="1244880" cy="352440"/>
          </xdr14:xfrm>
        </xdr:contentPart>
      </mc:Choice>
      <mc:Fallback>
        <xdr:pic>
          <xdr:nvPicPr>
            <xdr:cNvPr id="5" name="Pismo odręczne 4">
              <a:extLst>
                <a:ext uri="{FF2B5EF4-FFF2-40B4-BE49-F238E27FC236}">
                  <a16:creationId xmlns:a16="http://schemas.microsoft.com/office/drawing/2014/main" id="{DF9EDA38-BE31-443E-AD33-C29B5C9D90A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218560" y="3686040"/>
              <a:ext cx="1352520" cy="56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342840</xdr:colOff>
      <xdr:row>23</xdr:row>
      <xdr:rowOff>114120</xdr:rowOff>
    </xdr:from>
    <xdr:to>
      <xdr:col>9</xdr:col>
      <xdr:colOff>350640</xdr:colOff>
      <xdr:row>24</xdr:row>
      <xdr:rowOff>38160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4" name="Pismo odręczne 13">
              <a:extLst>
                <a:ext uri="{FF2B5EF4-FFF2-40B4-BE49-F238E27FC236}">
                  <a16:creationId xmlns:a16="http://schemas.microsoft.com/office/drawing/2014/main" id="{47ABA66A-1F01-40F8-B160-844A96890F3D}"/>
                </a:ext>
              </a:extLst>
            </xdr14:cNvPr>
            <xdr14:cNvContentPartPr/>
          </xdr14:nvContentPartPr>
          <xdr14:nvPr macro=""/>
          <xdr14:xfrm>
            <a:off x="5219640" y="4320360"/>
            <a:ext cx="617400" cy="106920"/>
          </xdr14:xfrm>
        </xdr:contentPart>
      </mc:Choice>
      <mc:Fallback>
        <xdr:pic>
          <xdr:nvPicPr>
            <xdr:cNvPr id="14" name="Pismo odręczne 13">
              <a:extLst>
                <a:ext uri="{FF2B5EF4-FFF2-40B4-BE49-F238E27FC236}">
                  <a16:creationId xmlns:a16="http://schemas.microsoft.com/office/drawing/2014/main" id="{47ABA66A-1F01-40F8-B160-844A96890F3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201640" y="4302720"/>
              <a:ext cx="653040" cy="142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441960</xdr:colOff>
      <xdr:row>16</xdr:row>
      <xdr:rowOff>143599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42941DB-12D5-40B2-B959-8E0DDAA65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8360" cy="3069679"/>
        </a:xfrm>
        <a:prstGeom prst="rect">
          <a:avLst/>
        </a:prstGeom>
      </xdr:spPr>
    </xdr:pic>
    <xdr:clientData/>
  </xdr:twoCellAnchor>
  <xdr:twoCellAnchor>
    <xdr:from>
      <xdr:col>6</xdr:col>
      <xdr:colOff>80010</xdr:colOff>
      <xdr:row>25</xdr:row>
      <xdr:rowOff>57150</xdr:rowOff>
    </xdr:from>
    <xdr:to>
      <xdr:col>15</xdr:col>
      <xdr:colOff>487680</xdr:colOff>
      <xdr:row>43</xdr:row>
      <xdr:rowOff>38100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E462113-6B38-4D08-A41D-FF2B849D1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9T07:24:25.95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1:34.97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1:43.21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48 1,'-2'0,"1"0,0 1,0-1,0 1,0-1,0 1,0 0,0-1,1 1,-1 0,0 0,0 0,0 0,1-1,-1 1,0 0,1 0,-1 0,1 0,-1 1,1-1,0 0,-1 0,1 2,-9 38,6-27,-4 32,1 0,3 1,5 89,0-42,-1-76,1-1,1 1,0-1,2 1,0-1,12 27,-2-3,-7-15,8 54,1 2,-13-63,-1-6,1-1,8 21,-10-29,1 0,-1 0,0 0,1-1,0 1,0-1,0 0,0 1,1-1,-1-1,7 5,1-1,0-2,0 1,0-1,0-1,1 0,0-1,21 2,-14-2,0 1,18 6,11 4,1-1,84 7,135-15,-145-6,-95 0,46-7,-45 4,42-1,838 7,-908-1,1 0,0 0,0 0,-1 0,1 0,0-1,-1 1,1-1,0 1,-1-1,1 1,2-2,-4 2,0-1,0 1,1 0,-1-1,0 1,0 0,0 0,0-1,1 1,-1 0,0-1,0 1,0-1,0 1,0 0,0-1,0 1,0 0,0-1,0 1,0 0,0-1,0 1,0-1,-1 1,1 0,0-1,0 1,0 0,0 0,-1-1,1 1,0-1,-5-4,0 0,1 1,-1-1,-10-6,-135-105,95 82,41 27,1-1,-21-15,-15-21,21 19,-49-34,63 49,1-1,0 0,-17-20,22 21,-1 1,-1 0,0 0,0 1,-1 0,0 1,-13-7,-147-63,-14 13,180 62,-48-14,-1 2,-93-11,125 23,1-1,1-1,-1-1,0-1,1-1,-29-13,16 8,0 1,0 2,-49-7,61 12,-280-59,293 61,-1 0,1 0,-1 1,0 0,1 1,-11 1,18-1,-1 0,1 0,-1 0,1 1,0-1,-1 1,1-1,0 1,-1 0,1-1,0 1,0 0,0 0,-1 0,1 0,0 0,-1 2,1-2,0 1,1 0,-1-1,1 1,0 0,-1 0,1-1,0 1,0 0,0-1,0 1,0 0,1 0,-1-1,0 1,1 0,-1-1,2 4,4 8,1 0,0 0,1-1,0 0,1 0,0-1,1 0,0-1,15 13,9 4,68 42,-83-60,1 0,-1-1,1-1,1-1,30 5,-21-4,49 16,-42-10,60 12,26 10,-99-29,-1-1,1-1,0-1,0-1,0-1,46-3,-13 0,-35 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7:59.64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1,'3'0,"5"0,5 0,4 0,-1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8:00.15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8:00.670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8:01.15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1,'3'0,"2"0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8:01.550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1,'3'0,"5"0,5 0,0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8:02.180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8:05.279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1,'0'3,"0"2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8:05.86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60,'0'-4,"0"-8,0-9,0-2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8:03.622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78,'3'0,"2"0</inkml:trace>
  <inkml:trace contextRef="#ctx0" brushRef="#br0" timeOffset="1231.47">22 78,'-1'3,"1"2</inkml:trace>
  <inkml:trace contextRef="#ctx0" brushRef="#br0" timeOffset="2637.67">85 78,'0'0,"0"-4,0-4,0-5,0-4,0-2,0 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8:03.101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43 44</inkml:trace>
  <inkml:trace contextRef="#ctx0" brushRef="#br0" timeOffset="1326.54">1 86</inkml:trace>
  <inkml:trace contextRef="#ctx0" brushRef="#br0" timeOffset="3494.21">43 1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29:48.461"/>
    </inkml:context>
    <inkml:brush xml:id="br0">
      <inkml:brushProperty name="width" value="0.1" units="cm"/>
      <inkml:brushProperty name="height" value="0.1" units="cm"/>
      <inkml:brushProperty name="color" value="#E71224"/>
      <inkml:brushProperty name="ignorePressure" value="1"/>
    </inkml:brush>
  </inkml:definitions>
  <inkml:trace contextRef="#ctx0" brushRef="#br0">65 23,'-1'0</inkml:trace>
  <inkml:trace contextRef="#ctx0" brushRef="#br0" timeOffset="1568.13">86 1</inkml:trace>
  <inkml:trace contextRef="#ctx0" brushRef="#br0" timeOffset="1915.68">86 1</inkml:trace>
  <inkml:trace contextRef="#ctx0" brushRef="#br0" timeOffset="2248.87">86 1</inkml:trace>
  <inkml:trace contextRef="#ctx0" brushRef="#br0" timeOffset="2249.87">86 1</inkml:trace>
  <inkml:trace contextRef="#ctx0" brushRef="#br0" timeOffset="2582.03">86 1</inkml:trace>
  <inkml:trace contextRef="#ctx0" brushRef="#br0" timeOffset="2913.44">86 1</inkml:trace>
  <inkml:trace contextRef="#ctx0" brushRef="#br0" timeOffset="3247.03">65 1,'-1'0</inkml:trace>
  <inkml:trace contextRef="#ctx0" brushRef="#br0" timeOffset="3248.03">65 1,'-4'0,"-1"0</inkml:trace>
  <inkml:trace contextRef="#ctx0" brushRef="#br0" timeOffset="3598.65">44 1</inkml:trace>
  <inkml:trace contextRef="#ctx0" brushRef="#br0" timeOffset="3599.65">44 1</inkml:trace>
  <inkml:trace contextRef="#ctx0" brushRef="#br0" timeOffset="3932.47">44 1</inkml:trace>
  <inkml:trace contextRef="#ctx0" brushRef="#br0" timeOffset="3933.47">44 1</inkml:trace>
  <inkml:trace contextRef="#ctx0" brushRef="#br0" timeOffset="4264.17">44 1</inkml:trace>
  <inkml:trace contextRef="#ctx0" brushRef="#br0" timeOffset="4265.17">44 1,'-4'0,"-5"0,0 0</inkml:trace>
  <inkml:trace contextRef="#ctx0" brushRef="#br0" timeOffset="4612.19">1 1,'0'0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30:00.685"/>
    </inkml:context>
    <inkml:brush xml:id="br0">
      <inkml:brushProperty name="width" value="0.1" units="cm"/>
      <inkml:brushProperty name="height" value="0.1" units="cm"/>
      <inkml:brushProperty name="color" value="#E71224"/>
      <inkml:brushProperty name="ignorePressure" value="1"/>
    </inkml:brush>
  </inkml:definitions>
  <inkml:trace contextRef="#ctx0" brushRef="#br0">31 3,'-5'-1,"14"0,-3 1,-18 2,12-2,-1 0,1 0,-1 0,1 0,0 0,-1 0,1 0,-1 1,1-1,-1 0,1 0,0 0,-1 0,1 1,0-1,-1 0,1 0,-1 0,1 1,0-1,0 0,-1 1,1-1,0 0,-1 1,1-1,0 1,0-1,0 0,0 1,-1-1,1 1,0-1,0 0,0 1,0 0,7 15,2 3,-9-19,0 1,0-1,0 1,0 0,0-1,0 1,0-1,0 1,-1-1,1 1,0 0,0-1,-1 1,1-1,0 1,0-1,-1 1,1-1,-1 0,1 1,0-1,-1 1,1-1,-1 0,1 1,-1-1,1 0,-1 0,1 1,-1-1,0 0,0 0,-15 4,9-2,18-2,-8 1,-1-1,0-1,1 1,-1 0,0 0,1-1,-1 1,0-1,0 0,0 0,1 0,-1 0,0 0,3-2,-4 1,0 1,0-1,0 0,0 1,0-1,0 0,-1 0,1 0,-1 1,1-1,-1 0,0 0,0 0,1 0,-2 0,1 0,0 0,-1-2,0-10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6T07:43:01.89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85 84,'1'0,"1"0,0 1,0-1,0 1,0 0,0 0,-1 0,1 0,0 0,-1 0,1 0,0 0,-1 0,0 1,1-1,-1 1,0-1,0 1,0 0,1-1,-2 1,1 0,0 0,0-1,-1 1,1 0,-1 0,1 0,-1 0,0 3,3 10,-2 0,0 28,-1-35,-3 122,5 123,1-235,0-1,2 0,0 0,0 0,2 0,13 25,7 17,-24-50,-1 0,0 0,0 0,-1 1,-1-1,1 0,-3 19,1-19,1 1,0 0,0 0,1-1,0 1,4 11,-5-20,1 1,0 0,-1 0,1-1,0 1,0 0,0-1,0 1,1-1,-1 0,0 1,1-1,-1 0,1 0,-1 0,1 0,-1 0,1 0,0 0,0 0,-1-1,1 1,0-1,0 1,0-1,0 0,-1 1,1-1,0 0,0 0,0-1,0 1,0 0,-1-1,1 1,4-2,-3 1,1 0,0-1,-1 0,1 1,-1-1,1 0,-1 0,0-1,0 1,0-1,0 0,0 1,-1-1,1-1,-1 1,0 0,2-4,0-4,-2 0,1 0,-2-1,1 1,-1-16,3-22,2-16,-2-1,-5-80,3-77,8 166,-6 41,-1 0,1-22,-3 8,0-46,-1 69,-1 1,1 0,-2-1,1 1,-1 0,0 0,0 0,-1 0,-3-7,6 12,0 1,-1-1,1 0,0 0,-1 1,1-1,-1 0,1 1,-1-1,1 1,-1-1,1 0,-1 1,0-1,1 1,-1 0,0-1,1 1,-1-1,0 1,1 0,-1 0,0-1,0 1,0 0,1 0,-1 0,0 0,0 0,1 0,-2 0,1 1,-1 0,1 0,0 0,0 0,0 0,0 0,0 1,1-1,-1 0,0 0,0 1,1-1,-1 0,0 4,-2 6,0 1,-3 23,3 240,6-141,-4-93,-1-1,-12 59,12-87,1 1,0-1,1 0,0 0,1 1,1-1,0 0,0 0,1 0,1 0,0-1,0 1,11 18,-11-23,0 0,0-1,1 1,0-1,0 0,1 0,0 0,0-1,0 0,0 0,1-1,0 0,0 0,0 0,0-1,1 0,-1 0,1-1,0 0,0 0,14 0,103-5,-470 2,300-3,0-2,1-2,-63-20,85 20,18 6,16 4,-7-1,13 2,0 0,0-1,32 0,-45-2,-1 0,0 0,0-1,0 0,0 0,0 0,0 0,0-1,0 1,0-1,-1 0,1 0,0 0,-1-1,0 1,0-1,1 0,-2 0,1 0,0 0,-1 0,4-7,45-80,-28 51,-2-1,32-81,-32 68,2 0,3 2,50-75,-30 50,-37 63,-6 9,-1 1,1-1,-1 0,0 0,0 1,0-1,-1-1,1 1,0-7,-2 11,0-1,0 1,0-1,0 1,0 0,0-1,0 1,0-1,0 1,0 0,0-1,0 1,-1 0,1-1,0 1,0 0,0-1,-1 1,1 0,0-1,0 1,-1 0,1 0,0-1,-1 1,1 0,0 0,-1 0,1-1,0 1,-1 0,1 0,-1 0,1 0,-1 0,-19 2,-18 14,37-15,-380 182,379-181,1-1,-1 0,0 0,0 0,0 0,1-1,-1 1,0 0,0-1,0 0,0 1,0-1,0 0,0 0,0 0,0 0,0 0,0-1,0 1,0 0,0-1,0 0,0 1,-2-2,2 0,1 0,-1 0,0-1,1 1,-1 0,1-1,0 1,0-1,0 1,0-1,1 0,-1 1,0-1,1 0,0 1,0-1,0-3,1 1,3 16,8 35,1 2,-8-24,0 0,-2 0,-1 1,0-1,-4 32,2-41,0 3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23T07:15:27.78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1,'3'0,"2"3,4 2,-1 3,3 0,-1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23T07:15:52.038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1,'-1'0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23T07:58:03.61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24 1,'-1'0,"0"0,0 1,0-1,0 1,0-1,0 1,0-1,0 1,1 0,-1-1,0 1,1 0,-1 0,0-1,1 1,-1 0,1 0,-1 0,1 0,0 0,-1 0,1 0,0 0,-1 0,1 0,0 0,0 1,-4 33,4-31,-3 354,5-183,-4-66,5 120,-2-224,0-1,0 1,0-1,1 0,0 1,0-1,0 0,0 0,1 0,-1-1,1 1,0 0,0-1,1 0,-1 0,0 0,1 0,0 0,0-1,0 0,5 3,10 4,1-1,0-1,25 6,-43-13,21 5,1-1,27 1,22 3,0 1,-52-8,0 1,0 1,33 10,-13 1,83 16,-9-4,-32-6,26-3,33 8,-107-19,0-1,0-1,1-2,44-4,59 4,-98 4,1 2,-2 2,1 2,48 20,-68-26,0 0,0-2,44 4,-6-2,13 2,1-5,75-4,-35-1,713 2,-810-1,0-1,28-6,-27 4,0 1,20-1,-18 3,36-8,-38 5,1 1,26-1,-26 4,-1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23T07:58:14.15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490 130,'8'1,"1"0,0 1,-1 0,1 0,-1 1,16 7,20 7,150 23,-171-36,-14-1,-18-1,-11 2,19 1,14 2,20 3,0 0,1-3,57 7,-49-9,62 16,-90-14,-18-3,-30 1,24-4,-83 10,-190 24,210-22,-131 40,197-51,-33 14,39-16,0 1,0-1,-1 1,1-1,0 1,0 0,0 0,0-1,0 1,0 0,0 0,0 0,1 0,-1 0,0 0,0 0,1 0,-1 0,1 0,-1 0,1 0,-1 1,1-1,-1 3,2-3,0 0,0 0,-1 0,1 1,0-1,0 0,0 0,0 0,0 0,0-1,1 1,-1 0,0 0,0-1,1 1,-1 0,0-1,1 1,-1-1,1 0,1 1,38 10,85 11,-74-14,412 62,377 63,-592-84,-200-32,-48-17,-1 0,1 0,-1 0,1 0,-1 0,0 1,1-1,-1 0,0 0,1 1,-1-1,0 0,1 1,-1-1,0 0,1 1,-1-1,0 0,0 1,0-1,1 0,-1 1,0-1,0 1,0-1,0 1,0-1,0 0,0 1,1-1,-1 1,-1-1,1 1,0-1,0 0,0 1,0-1,0 1,0-1,0 1,-1-1,1 0,0 1,0-1,0 0,-1 1,1-1,0 0,-1 1,1-1,0 0,-1 1,1-1,0 0,-1 0,0 1,-26 12,24-11,-311 112,299-111,1 0,0-1,-22 0,9 0,43 2,22 1,663 5,-463-12,-17 2,-202-1,-19 1,0 0,0 0,0 0,0 0,0 0,0 0,0 0,0-1,0 1,0 0,0 0,0 0,0 0,0 0,0 0,0 0,0 0,0 0,0 0,0 0,0 0,0 0,0 0,0-1,0 1,0 0,0 0,0 0,0 0,0 0,0 0,0 0,1 0,-1 0,0 0,0 0,0 0,0 0,0 0,0 0,0 0,0 0,0 0,0 0,0 0,0 0,0 0,0 0,1 0,-33-6,-571-44,-3 44,579 4,58-4,485-26,-185 17,-298 11,-28 3,-22-1,-662-14,-117-5,575 13,-585-32,771 38,23 2,1-1,-1 1,0-2,0 0,1 0,-1-1,1-1,-19-7,30 10,-1 1,1 0,0 0,-1 0,1 0,0-1,-1 1,1 0,0 0,0-1,-1 1,1 0,0 0,0-1,-1 1,1 0,0-1,0 1,0 0,-1-1,1 1,0-1,0 1,0 0,0-1,0 1,0 0,0-1,0 1,0-1,0 1,0 0,0-1,0 1,0 0,0-1,1 1,-1-1,0 1,0 0,0-1,1 1,-1 0,0 0,0-1,1 1,-1 0,0-1,0 1,1 0,-1 0,0 0,1-1,0 1,8-5,1 1,0 1,1-1,-1 2,1-1,-1 1,1 1,12-1,-11 1,589-15,-763 56,142-35,-31 5,48-9,-1-1,1 1,-1-1,1 0,0-1,-1 1,1 0,-1-1,1 0,0 0,-5-1,7 1,1 0,-1 1,0-1,1 0,-1 0,0 1,1-1,-1 0,1 0,-1 0,1 0,0 0,-1 0,1 0,0 0,0 0,-1 0,1 0,0 0,0 0,0 0,0 0,0 0,1 0,-1 0,0 1,0-1,1 0,-1 0,0 0,1 0,0-2,20-34,-17 29,5-6,-1 0,-1-1,-1-1,6-19,-10 30,-1 1,0-1,0 1,0-1,-1 1,0-1,0 0,0 1,0-1,-1 1,1-1,-1 0,0 1,-1 0,1-1,-1 1,0 0,0 0,0 0,-4-5,-8-10,1-1,1-1,1 0,-17-45,8 19,8 18,6 13,-1 0,-1 0,-17-26,22 39,-1 0,1 0,0 0,-1 0,0 0,0 1,1 0,-1 0,-1 0,1 0,0 1,0-1,-1 1,-5-1,2 1,1 0,0 0,-1 1,1 0,-1 1,1 0,-15 3,21-4,-2 1,1 0,-1 0,1-1,0 1,-1-1,1 1,-1-1,1 0,-1 0,1 0,-1 0,1-1,-5 0,23-4,89-2,110 7,-93 1,67-2,185 3,-326 1,-1 1,-1 3,1 1,-1 3,-1 1,0 3,-1 1,0 3,60 35,-74-39,-1-2,2 0,-1-2,2-1,47 8,15 6,-43-10,1-2,90 8,-70-11,-37-4,49 0,-63-4,1 1,-1 0,0 2,0 0,24 9,97 43,-117-46,45 25,73 47,-19-10,-49-23,-56-35,0-1,37 19,-48-28,1 0,-1 1,0 0,-1 0,1 1,-1 0,0 1,-1-1,0 1,0 0,6 10,-12-17,0 1,1-1,-1 1,0-1,0 1,1-1,-1 1,0-1,1 1,-1-1,0 1,1-1,-1 1,1-1,-1 0,1 1,-1-1,1 0,-1 0,1 1,-1-1,1 0,0 0,-1 0,1 1,-1-1,1 0,-1 0,1 0,0 0,-1 0,1 0,0 0,0-1,0 0,0 0,0 0,0 0,0 0,0-1,-1 1,1 0,0 0,-1 0,1-1,-1 1,1-2,8-47,-8-167,-3 107,2 95,-2 0,-6-30,4 30,1-1,-1-28,4 16,1 18,-1-1,0 1,0-1,-1 1,-4-17,4 24,0 1,0 0,0-1,0 1,0 0,-1 0,1 0,-1 0,1 0,-1 0,0 0,1 0,-1 1,0-1,0 1,-1-1,1 1,0 0,0 0,-1 0,1 0,0 0,-1 1,1-1,-1 1,1-1,-1 1,-3 0,-174 1,69 2,60-3,-45 0,-111-13,-202-38,288 31,74 11,-88-5,116 12,-1 0,-23-6,-2-1,5 3,2 0,-74-3,-1301 10,2649-1,-1213-1,1-2,22-4,-22 3,40-3,27 7,-42 2,0-3,80-12,-98 9,0 1,55 2,13 0,-35-10,-46 7,0 1,23-1,610 3,-316 3,-318-3,-10 1,0 0,0 0,-1 0,1 1,0 0,10 3,-15-3,0 0,0 0,0 0,-1 0,1 0,0 1,0-1,-1 1,1-1,-1 1,1 0,-1 0,0-1,0 1,0 0,0 0,0 0,0 0,0 1,-1-1,1 0,-1 0,1 0,-1 3,2 16,0-1,-2 1,0-1,-2 1,0-1,-1 0,-1 0,-1 0,-9 24,-77 263,87-289,1-6,2-1,0 1,0 11,-5 33,1-43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23T07:58:55.566"/>
    </inkml:context>
    <inkml:brush xml:id="br0">
      <inkml:brushProperty name="width" value="0.1" units="cm"/>
      <inkml:brushProperty name="height" value="0.1" units="cm"/>
      <inkml:brushProperty name="color" value="#E71224"/>
      <inkml:brushProperty name="ignorePressure" value="1"/>
    </inkml:brush>
  </inkml:definitions>
  <inkml:trace contextRef="#ctx0" brushRef="#br0">43 22,'-3'0,"10"0,92 8,57 15,-105-17,177 34,-202-35,1-2,-1-1,42-2,-38-1,-1 1,45 7,109 23,-112-24,-56-6,-1 1,1 1,-1 0,0 0,0 2,0-1,15 8,-22-8,6 4,1-1,0-1,0 0,0-1,21 4,114 13,-63-3,-69-16</inkml:trace>
  <inkml:trace contextRef="#ctx0" brushRef="#br0" timeOffset="1315.4">1715 297,'-4'0,"-4"0,-5 0,-4 0,2 0</inkml:trace>
  <inkml:trace contextRef="#ctx0" brushRef="#br0" timeOffset="2736.83">22 43,'0'0</inkml:trace>
  <inkml:trace contextRef="#ctx0" brushRef="#br0" timeOffset="3359.68">1 1,'0'0</inkml:trace>
  <inkml:trace contextRef="#ctx0" brushRef="#br0" timeOffset="3697.27">1 1,'0'0</inkml:trace>
  <inkml:trace contextRef="#ctx0" brushRef="#br0" timeOffset="4031">1 1,'0'0</inkml:trace>
</inkml: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035C-00A0-4345-910D-8DEFF3C6FD49}">
  <dimension ref="B2:T80"/>
  <sheetViews>
    <sheetView workbookViewId="0">
      <selection activeCell="P37" sqref="P37"/>
    </sheetView>
  </sheetViews>
  <sheetFormatPr defaultRowHeight="14.4" x14ac:dyDescent="0.3"/>
  <cols>
    <col min="4" max="4" width="13.109375" bestFit="1" customWidth="1"/>
  </cols>
  <sheetData>
    <row r="2" spans="2:20" x14ac:dyDescent="0.3">
      <c r="L2" t="s">
        <v>6</v>
      </c>
    </row>
    <row r="3" spans="2:20" x14ac:dyDescent="0.3">
      <c r="L3" t="s">
        <v>7</v>
      </c>
    </row>
    <row r="4" spans="2:20" x14ac:dyDescent="0.3">
      <c r="L4" t="s">
        <v>8</v>
      </c>
    </row>
    <row r="5" spans="2:20" x14ac:dyDescent="0.3">
      <c r="L5" t="s">
        <v>9</v>
      </c>
    </row>
    <row r="6" spans="2:20" x14ac:dyDescent="0.3">
      <c r="L6" t="s">
        <v>10</v>
      </c>
    </row>
    <row r="7" spans="2:20" x14ac:dyDescent="0.3">
      <c r="L7" t="s">
        <v>11</v>
      </c>
      <c r="M7">
        <v>200</v>
      </c>
      <c r="O7" t="s">
        <v>13</v>
      </c>
    </row>
    <row r="8" spans="2:20" x14ac:dyDescent="0.3">
      <c r="L8" t="s">
        <v>12</v>
      </c>
      <c r="M8">
        <v>400</v>
      </c>
      <c r="O8" t="s">
        <v>14</v>
      </c>
      <c r="Q8" s="1" t="s">
        <v>15</v>
      </c>
      <c r="R8" s="1"/>
      <c r="S8" s="1"/>
      <c r="T8" s="1"/>
    </row>
    <row r="9" spans="2:20" x14ac:dyDescent="0.3">
      <c r="L9" t="s">
        <v>16</v>
      </c>
    </row>
    <row r="10" spans="2:20" x14ac:dyDescent="0.3">
      <c r="L10" t="s">
        <v>17</v>
      </c>
      <c r="M10" t="s">
        <v>18</v>
      </c>
    </row>
    <row r="11" spans="2:20" x14ac:dyDescent="0.3">
      <c r="L11" t="s">
        <v>19</v>
      </c>
    </row>
    <row r="12" spans="2:20" x14ac:dyDescent="0.3">
      <c r="L12" t="s">
        <v>20</v>
      </c>
      <c r="M12">
        <v>1</v>
      </c>
      <c r="O12" s="1" t="s">
        <v>24</v>
      </c>
      <c r="P12" s="1"/>
      <c r="Q12" s="1"/>
    </row>
    <row r="13" spans="2:20" x14ac:dyDescent="0.3">
      <c r="L13" t="s">
        <v>21</v>
      </c>
      <c r="M13">
        <v>4</v>
      </c>
      <c r="O13" t="s">
        <v>25</v>
      </c>
    </row>
    <row r="14" spans="2:20" x14ac:dyDescent="0.3">
      <c r="B14" s="2"/>
      <c r="C14" s="2" t="s">
        <v>0</v>
      </c>
      <c r="D14" s="2" t="s">
        <v>1</v>
      </c>
      <c r="E14" s="2" t="s">
        <v>2</v>
      </c>
      <c r="L14" t="s">
        <v>22</v>
      </c>
      <c r="M14">
        <v>3</v>
      </c>
      <c r="O14" t="s">
        <v>26</v>
      </c>
    </row>
    <row r="15" spans="2:20" x14ac:dyDescent="0.3">
      <c r="B15" s="2" t="s">
        <v>3</v>
      </c>
      <c r="C15" s="2">
        <v>1</v>
      </c>
      <c r="D15" s="2">
        <v>4</v>
      </c>
      <c r="E15" s="2">
        <v>8000</v>
      </c>
      <c r="L15" t="s">
        <v>23</v>
      </c>
      <c r="M15">
        <v>2</v>
      </c>
    </row>
    <row r="16" spans="2:20" x14ac:dyDescent="0.3">
      <c r="B16" s="2" t="s">
        <v>4</v>
      </c>
      <c r="C16" s="2">
        <v>3</v>
      </c>
      <c r="D16" s="2">
        <v>2</v>
      </c>
      <c r="E16" s="2">
        <v>9000</v>
      </c>
      <c r="L16" t="s">
        <v>27</v>
      </c>
    </row>
    <row r="17" spans="2:13" x14ac:dyDescent="0.3">
      <c r="B17" s="2" t="s">
        <v>5</v>
      </c>
      <c r="C17" s="2">
        <v>200</v>
      </c>
      <c r="D17" s="2">
        <v>400</v>
      </c>
      <c r="E17" s="2"/>
      <c r="L17" t="s">
        <v>28</v>
      </c>
      <c r="M17">
        <v>8000</v>
      </c>
    </row>
    <row r="18" spans="2:13" x14ac:dyDescent="0.3">
      <c r="L18" t="s">
        <v>29</v>
      </c>
      <c r="M18">
        <v>9000</v>
      </c>
    </row>
    <row r="19" spans="2:13" x14ac:dyDescent="0.3">
      <c r="B19" s="4" t="s">
        <v>100</v>
      </c>
      <c r="L19" t="s">
        <v>30</v>
      </c>
    </row>
    <row r="20" spans="2:13" x14ac:dyDescent="0.3">
      <c r="B20" s="3" t="s">
        <v>39</v>
      </c>
      <c r="C20" s="1" t="s">
        <v>101</v>
      </c>
      <c r="D20" s="1"/>
      <c r="E20" s="1"/>
      <c r="F20" s="1"/>
      <c r="G20" s="1"/>
      <c r="H20" s="1"/>
      <c r="L20" t="s">
        <v>31</v>
      </c>
      <c r="M20" t="s">
        <v>99</v>
      </c>
    </row>
    <row r="21" spans="2:13" x14ac:dyDescent="0.3">
      <c r="B21" s="3" t="s">
        <v>44</v>
      </c>
      <c r="C21" t="s">
        <v>102</v>
      </c>
      <c r="L21" t="s">
        <v>32</v>
      </c>
      <c r="M21" t="s">
        <v>34</v>
      </c>
    </row>
    <row r="22" spans="2:13" x14ac:dyDescent="0.3">
      <c r="C22" t="s">
        <v>103</v>
      </c>
      <c r="D22" t="s">
        <v>104</v>
      </c>
      <c r="I22" s="1" t="s">
        <v>105</v>
      </c>
      <c r="J22" s="1"/>
      <c r="K22" s="1"/>
      <c r="L22" t="s">
        <v>35</v>
      </c>
    </row>
    <row r="23" spans="2:13" x14ac:dyDescent="0.3">
      <c r="G23" s="5" t="s">
        <v>58</v>
      </c>
      <c r="H23" s="5" t="s">
        <v>59</v>
      </c>
      <c r="L23" t="s">
        <v>36</v>
      </c>
      <c r="M23" t="s">
        <v>37</v>
      </c>
    </row>
    <row r="24" spans="2:13" x14ac:dyDescent="0.3">
      <c r="D24" t="s">
        <v>20</v>
      </c>
      <c r="E24" t="s">
        <v>21</v>
      </c>
      <c r="F24" t="s">
        <v>28</v>
      </c>
      <c r="G24" s="5">
        <v>0</v>
      </c>
      <c r="H24" s="5">
        <f>F25/E25</f>
        <v>2000</v>
      </c>
      <c r="L24" t="s">
        <v>38</v>
      </c>
    </row>
    <row r="25" spans="2:13" x14ac:dyDescent="0.3">
      <c r="D25">
        <v>1</v>
      </c>
      <c r="E25">
        <v>4</v>
      </c>
      <c r="F25">
        <v>8000</v>
      </c>
      <c r="G25" s="5">
        <f>F25/D25</f>
        <v>8000</v>
      </c>
      <c r="H25" s="5">
        <v>0</v>
      </c>
      <c r="L25" t="s">
        <v>17</v>
      </c>
      <c r="M25" t="s">
        <v>18</v>
      </c>
    </row>
    <row r="26" spans="2:13" x14ac:dyDescent="0.3">
      <c r="L26" t="s">
        <v>31</v>
      </c>
      <c r="M26" t="s">
        <v>33</v>
      </c>
    </row>
    <row r="27" spans="2:13" x14ac:dyDescent="0.3">
      <c r="C27" t="s">
        <v>106</v>
      </c>
      <c r="D27" t="s">
        <v>107</v>
      </c>
      <c r="G27" s="5" t="s">
        <v>58</v>
      </c>
      <c r="H27" s="5" t="s">
        <v>59</v>
      </c>
      <c r="L27" t="s">
        <v>32</v>
      </c>
      <c r="M27" t="s">
        <v>34</v>
      </c>
    </row>
    <row r="28" spans="2:13" x14ac:dyDescent="0.3">
      <c r="D28" t="s">
        <v>22</v>
      </c>
      <c r="E28" t="s">
        <v>23</v>
      </c>
      <c r="F28" t="s">
        <v>29</v>
      </c>
      <c r="G28" s="5">
        <v>0</v>
      </c>
      <c r="H28" s="5">
        <f>F29/E29</f>
        <v>4500</v>
      </c>
      <c r="L28" t="s">
        <v>36</v>
      </c>
      <c r="M28" t="s">
        <v>37</v>
      </c>
    </row>
    <row r="29" spans="2:13" x14ac:dyDescent="0.3">
      <c r="D29">
        <v>3</v>
      </c>
      <c r="E29">
        <v>2</v>
      </c>
      <c r="F29">
        <v>9000</v>
      </c>
      <c r="G29" s="5">
        <f>F29/D29</f>
        <v>3000</v>
      </c>
      <c r="H29" s="5">
        <v>0</v>
      </c>
    </row>
    <row r="30" spans="2:13" x14ac:dyDescent="0.3">
      <c r="C30" t="s">
        <v>108</v>
      </c>
    </row>
    <row r="31" spans="2:13" x14ac:dyDescent="0.3">
      <c r="B31" s="6" t="s">
        <v>45</v>
      </c>
      <c r="C31" t="s">
        <v>109</v>
      </c>
    </row>
    <row r="44" spans="2:7" x14ac:dyDescent="0.3">
      <c r="C44" t="s">
        <v>110</v>
      </c>
    </row>
    <row r="45" spans="2:7" x14ac:dyDescent="0.3">
      <c r="B45" s="7" t="s">
        <v>111</v>
      </c>
      <c r="C45" t="s">
        <v>112</v>
      </c>
    </row>
    <row r="46" spans="2:7" x14ac:dyDescent="0.3">
      <c r="C46" t="s">
        <v>17</v>
      </c>
      <c r="D46" t="s">
        <v>18</v>
      </c>
    </row>
    <row r="47" spans="2:7" x14ac:dyDescent="0.3">
      <c r="C47" t="s">
        <v>113</v>
      </c>
      <c r="D47" t="s">
        <v>114</v>
      </c>
      <c r="G47" s="8" t="s">
        <v>115</v>
      </c>
    </row>
    <row r="49" spans="2:9" x14ac:dyDescent="0.3">
      <c r="E49" t="s">
        <v>11</v>
      </c>
      <c r="F49" t="s">
        <v>12</v>
      </c>
      <c r="H49" s="5" t="s">
        <v>40</v>
      </c>
      <c r="I49" s="5" t="s">
        <v>41</v>
      </c>
    </row>
    <row r="50" spans="2:9" x14ac:dyDescent="0.3">
      <c r="E50">
        <v>200</v>
      </c>
      <c r="F50">
        <v>400</v>
      </c>
      <c r="G50" s="8">
        <v>800000</v>
      </c>
      <c r="H50" s="5">
        <v>0</v>
      </c>
      <c r="I50" s="5">
        <f>G50/F50</f>
        <v>2000</v>
      </c>
    </row>
    <row r="51" spans="2:9" x14ac:dyDescent="0.3">
      <c r="H51" s="5">
        <f>G50/E50</f>
        <v>4000</v>
      </c>
      <c r="I51" s="5">
        <v>0</v>
      </c>
    </row>
    <row r="52" spans="2:9" x14ac:dyDescent="0.3">
      <c r="B52" s="10" t="s">
        <v>116</v>
      </c>
      <c r="C52" t="s">
        <v>117</v>
      </c>
    </row>
    <row r="53" spans="2:9" x14ac:dyDescent="0.3">
      <c r="C53" t="s">
        <v>118</v>
      </c>
      <c r="D53">
        <v>2000</v>
      </c>
    </row>
    <row r="54" spans="2:9" x14ac:dyDescent="0.3">
      <c r="C54" t="s">
        <v>119</v>
      </c>
      <c r="D54">
        <v>1500</v>
      </c>
      <c r="F54" t="s">
        <v>120</v>
      </c>
    </row>
    <row r="56" spans="2:9" x14ac:dyDescent="0.3">
      <c r="C56" t="s">
        <v>121</v>
      </c>
    </row>
    <row r="57" spans="2:9" x14ac:dyDescent="0.3">
      <c r="C57" t="s">
        <v>104</v>
      </c>
    </row>
    <row r="58" spans="2:9" x14ac:dyDescent="0.3">
      <c r="C58" t="s">
        <v>107</v>
      </c>
    </row>
    <row r="59" spans="2:9" x14ac:dyDescent="0.3">
      <c r="C59" t="s">
        <v>122</v>
      </c>
    </row>
    <row r="60" spans="2:9" x14ac:dyDescent="0.3">
      <c r="C60" t="s">
        <v>123</v>
      </c>
      <c r="D60" s="11">
        <v>1</v>
      </c>
      <c r="E60" s="11">
        <v>4</v>
      </c>
      <c r="G60" t="s">
        <v>124</v>
      </c>
      <c r="H60" s="12">
        <v>8000</v>
      </c>
    </row>
    <row r="61" spans="2:9" x14ac:dyDescent="0.3">
      <c r="D61" s="11">
        <v>3</v>
      </c>
      <c r="E61" s="11">
        <v>2</v>
      </c>
      <c r="H61" s="12">
        <v>9000</v>
      </c>
    </row>
    <row r="63" spans="2:9" x14ac:dyDescent="0.3">
      <c r="C63" t="s">
        <v>125</v>
      </c>
      <c r="D63" s="12">
        <v>8000</v>
      </c>
      <c r="E63" s="11">
        <v>4</v>
      </c>
      <c r="G63" t="s">
        <v>126</v>
      </c>
      <c r="H63" s="11">
        <v>1</v>
      </c>
      <c r="I63" s="12">
        <v>8000</v>
      </c>
    </row>
    <row r="64" spans="2:9" x14ac:dyDescent="0.3">
      <c r="D64" s="12">
        <v>9000</v>
      </c>
      <c r="E64" s="11">
        <v>2</v>
      </c>
      <c r="H64" s="11">
        <v>3</v>
      </c>
      <c r="I64" s="12">
        <v>9000</v>
      </c>
    </row>
    <row r="66" spans="2:9" x14ac:dyDescent="0.3">
      <c r="C66" t="s">
        <v>127</v>
      </c>
    </row>
    <row r="67" spans="2:9" x14ac:dyDescent="0.3">
      <c r="C67" t="s">
        <v>128</v>
      </c>
      <c r="D67">
        <f>MDETERM(D60:E61)</f>
        <v>-10</v>
      </c>
    </row>
    <row r="68" spans="2:9" x14ac:dyDescent="0.3">
      <c r="C68" t="s">
        <v>129</v>
      </c>
      <c r="D68">
        <f>MDETERM(D63:E64)</f>
        <v>-20000</v>
      </c>
    </row>
    <row r="69" spans="2:9" x14ac:dyDescent="0.3">
      <c r="C69" t="s">
        <v>130</v>
      </c>
      <c r="D69">
        <f>MDETERM(H63:I64)</f>
        <v>-15000</v>
      </c>
    </row>
    <row r="71" spans="2:9" x14ac:dyDescent="0.3">
      <c r="C71" s="14" t="s">
        <v>131</v>
      </c>
      <c r="D71" s="14" t="s">
        <v>132</v>
      </c>
      <c r="E71" s="14"/>
      <c r="F71" s="13">
        <f>D68/D67</f>
        <v>2000</v>
      </c>
      <c r="G71" t="s">
        <v>135</v>
      </c>
    </row>
    <row r="72" spans="2:9" x14ac:dyDescent="0.3">
      <c r="C72" s="14" t="s">
        <v>133</v>
      </c>
      <c r="D72" s="14" t="s">
        <v>134</v>
      </c>
      <c r="E72" s="14"/>
      <c r="F72" s="13">
        <f>D69/D67</f>
        <v>1500</v>
      </c>
      <c r="G72" t="s">
        <v>136</v>
      </c>
    </row>
    <row r="74" spans="2:9" x14ac:dyDescent="0.3">
      <c r="B74" s="9" t="s">
        <v>137</v>
      </c>
      <c r="C74" t="s">
        <v>138</v>
      </c>
    </row>
    <row r="75" spans="2:9" x14ac:dyDescent="0.3">
      <c r="C75" t="s">
        <v>17</v>
      </c>
      <c r="D75" t="s">
        <v>18</v>
      </c>
    </row>
    <row r="76" spans="2:9" x14ac:dyDescent="0.3">
      <c r="C76" s="13" t="s">
        <v>139</v>
      </c>
      <c r="D76" s="15">
        <f>200*F71+400*F72</f>
        <v>1000000</v>
      </c>
      <c r="E76" s="13" t="s">
        <v>140</v>
      </c>
      <c r="F76" s="13"/>
      <c r="G76" s="13"/>
      <c r="H76" s="13"/>
      <c r="I76" s="13"/>
    </row>
    <row r="77" spans="2:9" x14ac:dyDescent="0.3">
      <c r="B77" s="9" t="s">
        <v>141</v>
      </c>
      <c r="C77" t="s">
        <v>142</v>
      </c>
    </row>
    <row r="78" spans="2:9" x14ac:dyDescent="0.3">
      <c r="C78" t="s">
        <v>11</v>
      </c>
      <c r="D78" t="s">
        <v>12</v>
      </c>
      <c r="F78" s="5" t="s">
        <v>40</v>
      </c>
      <c r="G78" s="5" t="s">
        <v>41</v>
      </c>
    </row>
    <row r="79" spans="2:9" x14ac:dyDescent="0.3">
      <c r="C79">
        <v>200</v>
      </c>
      <c r="D79">
        <v>400</v>
      </c>
      <c r="E79">
        <v>1000000</v>
      </c>
      <c r="F79" s="5">
        <v>0</v>
      </c>
      <c r="G79" s="5">
        <f>E79/D79</f>
        <v>2500</v>
      </c>
    </row>
    <row r="80" spans="2:9" x14ac:dyDescent="0.3">
      <c r="F80" s="5">
        <f>E79/C79</f>
        <v>5000</v>
      </c>
      <c r="G80" s="5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E626-73A8-4CCA-8956-B7CE8B17336F}">
  <dimension ref="A2:K54"/>
  <sheetViews>
    <sheetView topLeftCell="A34" workbookViewId="0">
      <selection activeCell="H50" sqref="H50"/>
    </sheetView>
  </sheetViews>
  <sheetFormatPr defaultRowHeight="14.4" x14ac:dyDescent="0.3"/>
  <sheetData>
    <row r="2" spans="1:11" x14ac:dyDescent="0.3">
      <c r="J2" t="s">
        <v>39</v>
      </c>
    </row>
    <row r="3" spans="1:11" x14ac:dyDescent="0.3">
      <c r="J3" t="s">
        <v>40</v>
      </c>
      <c r="K3" t="s">
        <v>42</v>
      </c>
    </row>
    <row r="4" spans="1:11" x14ac:dyDescent="0.3">
      <c r="J4" t="s">
        <v>41</v>
      </c>
      <c r="K4" t="s">
        <v>43</v>
      </c>
    </row>
    <row r="5" spans="1:11" x14ac:dyDescent="0.3">
      <c r="J5" t="s">
        <v>44</v>
      </c>
    </row>
    <row r="6" spans="1:11" x14ac:dyDescent="0.3">
      <c r="J6" t="s">
        <v>11</v>
      </c>
      <c r="K6">
        <v>100</v>
      </c>
    </row>
    <row r="7" spans="1:11" x14ac:dyDescent="0.3">
      <c r="J7" t="s">
        <v>12</v>
      </c>
      <c r="K7">
        <v>30</v>
      </c>
    </row>
    <row r="8" spans="1:11" x14ac:dyDescent="0.3">
      <c r="J8" t="s">
        <v>45</v>
      </c>
    </row>
    <row r="9" spans="1:11" x14ac:dyDescent="0.3">
      <c r="J9" t="s">
        <v>17</v>
      </c>
      <c r="K9" t="s">
        <v>46</v>
      </c>
    </row>
    <row r="10" spans="1:11" x14ac:dyDescent="0.3">
      <c r="J10" t="s">
        <v>47</v>
      </c>
    </row>
    <row r="11" spans="1:11" x14ac:dyDescent="0.3">
      <c r="J11" t="s">
        <v>20</v>
      </c>
      <c r="K11">
        <v>0.01</v>
      </c>
    </row>
    <row r="12" spans="1:11" x14ac:dyDescent="0.3">
      <c r="J12" t="s">
        <v>21</v>
      </c>
      <c r="K12">
        <v>0.02</v>
      </c>
    </row>
    <row r="13" spans="1:11" x14ac:dyDescent="0.3">
      <c r="A13" s="9" t="s">
        <v>143</v>
      </c>
      <c r="B13" t="s">
        <v>144</v>
      </c>
      <c r="J13" t="s">
        <v>48</v>
      </c>
      <c r="K13">
        <v>3</v>
      </c>
    </row>
    <row r="14" spans="1:11" x14ac:dyDescent="0.3">
      <c r="J14" t="s">
        <v>22</v>
      </c>
      <c r="K14">
        <v>2E-3</v>
      </c>
    </row>
    <row r="15" spans="1:11" x14ac:dyDescent="0.3">
      <c r="A15" t="s">
        <v>44</v>
      </c>
      <c r="B15" t="s">
        <v>145</v>
      </c>
      <c r="C15" t="s">
        <v>53</v>
      </c>
      <c r="J15" t="s">
        <v>23</v>
      </c>
      <c r="K15">
        <v>5.0000000000000001E-3</v>
      </c>
    </row>
    <row r="16" spans="1:11" x14ac:dyDescent="0.3">
      <c r="E16" t="s">
        <v>40</v>
      </c>
      <c r="F16" t="s">
        <v>41</v>
      </c>
      <c r="J16" t="s">
        <v>49</v>
      </c>
      <c r="K16">
        <v>2</v>
      </c>
    </row>
    <row r="17" spans="1:11" x14ac:dyDescent="0.3">
      <c r="B17" t="s">
        <v>20</v>
      </c>
      <c r="C17" t="s">
        <v>21</v>
      </c>
      <c r="D17" t="s">
        <v>28</v>
      </c>
      <c r="E17">
        <v>0</v>
      </c>
      <c r="F17">
        <f>D18/C18</f>
        <v>1000</v>
      </c>
      <c r="J17" t="s">
        <v>50</v>
      </c>
    </row>
    <row r="18" spans="1:11" x14ac:dyDescent="0.3">
      <c r="B18">
        <v>0.01</v>
      </c>
      <c r="C18">
        <v>2E-3</v>
      </c>
      <c r="D18">
        <v>2</v>
      </c>
      <c r="E18">
        <f>D18/B18</f>
        <v>200</v>
      </c>
      <c r="F18">
        <v>0</v>
      </c>
      <c r="J18" t="s">
        <v>28</v>
      </c>
      <c r="K18">
        <v>2</v>
      </c>
    </row>
    <row r="19" spans="1:11" x14ac:dyDescent="0.3">
      <c r="J19" t="s">
        <v>29</v>
      </c>
      <c r="K19">
        <v>2</v>
      </c>
    </row>
    <row r="20" spans="1:11" x14ac:dyDescent="0.3">
      <c r="B20" t="s">
        <v>146</v>
      </c>
      <c r="C20" t="s">
        <v>147</v>
      </c>
      <c r="J20" t="s">
        <v>51</v>
      </c>
      <c r="K20">
        <v>180</v>
      </c>
    </row>
    <row r="21" spans="1:11" x14ac:dyDescent="0.3">
      <c r="E21" t="s">
        <v>40</v>
      </c>
      <c r="F21" t="s">
        <v>41</v>
      </c>
      <c r="J21" t="s">
        <v>52</v>
      </c>
    </row>
    <row r="22" spans="1:11" x14ac:dyDescent="0.3">
      <c r="B22" t="s">
        <v>22</v>
      </c>
      <c r="C22" t="s">
        <v>23</v>
      </c>
      <c r="D22" t="s">
        <v>29</v>
      </c>
      <c r="E22">
        <v>0</v>
      </c>
      <c r="F22">
        <f>D23/C23</f>
        <v>400</v>
      </c>
      <c r="J22" t="s">
        <v>31</v>
      </c>
      <c r="K22" t="s">
        <v>53</v>
      </c>
    </row>
    <row r="23" spans="1:11" x14ac:dyDescent="0.3">
      <c r="B23">
        <v>0.02</v>
      </c>
      <c r="C23">
        <v>5.0000000000000001E-3</v>
      </c>
      <c r="D23">
        <v>2</v>
      </c>
      <c r="E23">
        <f>D23/B23</f>
        <v>100</v>
      </c>
      <c r="F23">
        <v>0</v>
      </c>
      <c r="J23" t="s">
        <v>54</v>
      </c>
      <c r="K23" t="s">
        <v>55</v>
      </c>
    </row>
    <row r="24" spans="1:11" x14ac:dyDescent="0.3">
      <c r="J24" t="s">
        <v>56</v>
      </c>
      <c r="K24" t="s">
        <v>57</v>
      </c>
    </row>
    <row r="25" spans="1:11" x14ac:dyDescent="0.3">
      <c r="B25" t="s">
        <v>148</v>
      </c>
      <c r="C25" t="s">
        <v>57</v>
      </c>
      <c r="J25" t="s">
        <v>70</v>
      </c>
      <c r="K25" t="s">
        <v>69</v>
      </c>
    </row>
    <row r="26" spans="1:11" x14ac:dyDescent="0.3">
      <c r="E26" t="s">
        <v>40</v>
      </c>
      <c r="F26" t="s">
        <v>41</v>
      </c>
    </row>
    <row r="27" spans="1:11" x14ac:dyDescent="0.3">
      <c r="B27" t="s">
        <v>149</v>
      </c>
      <c r="C27" t="s">
        <v>150</v>
      </c>
      <c r="D27" t="s">
        <v>51</v>
      </c>
      <c r="E27">
        <v>0</v>
      </c>
      <c r="F27">
        <f>D28/C28</f>
        <v>90</v>
      </c>
    </row>
    <row r="28" spans="1:11" x14ac:dyDescent="0.3">
      <c r="B28">
        <v>3</v>
      </c>
      <c r="C28">
        <v>2</v>
      </c>
      <c r="D28">
        <v>180</v>
      </c>
      <c r="E28">
        <f>D28/B28</f>
        <v>60</v>
      </c>
      <c r="F28">
        <v>0</v>
      </c>
    </row>
    <row r="30" spans="1:11" x14ac:dyDescent="0.3">
      <c r="A30" t="s">
        <v>45</v>
      </c>
    </row>
    <row r="44" spans="1:7" x14ac:dyDescent="0.3">
      <c r="A44" t="s">
        <v>47</v>
      </c>
      <c r="B44" t="s">
        <v>151</v>
      </c>
      <c r="C44" t="s">
        <v>46</v>
      </c>
      <c r="F44" t="s">
        <v>58</v>
      </c>
      <c r="G44" t="s">
        <v>59</v>
      </c>
    </row>
    <row r="45" spans="1:7" x14ac:dyDescent="0.3">
      <c r="C45" t="s">
        <v>11</v>
      </c>
      <c r="D45" t="s">
        <v>12</v>
      </c>
      <c r="F45">
        <v>0</v>
      </c>
      <c r="G45">
        <f>E46/D46</f>
        <v>100</v>
      </c>
    </row>
    <row r="46" spans="1:7" x14ac:dyDescent="0.3">
      <c r="C46">
        <v>100</v>
      </c>
      <c r="D46">
        <v>30</v>
      </c>
      <c r="E46">
        <f>C46*D46</f>
        <v>3000</v>
      </c>
      <c r="F46">
        <f>E46/C46</f>
        <v>30</v>
      </c>
      <c r="G46">
        <v>0</v>
      </c>
    </row>
    <row r="48" spans="1:7" x14ac:dyDescent="0.3">
      <c r="A48" t="s">
        <v>50</v>
      </c>
    </row>
    <row r="49" spans="2:8" x14ac:dyDescent="0.3">
      <c r="B49" t="s">
        <v>58</v>
      </c>
      <c r="C49">
        <v>60</v>
      </c>
      <c r="H49" t="s">
        <v>154</v>
      </c>
    </row>
    <row r="50" spans="2:8" x14ac:dyDescent="0.3">
      <c r="B50" t="s">
        <v>59</v>
      </c>
      <c r="C50">
        <v>0</v>
      </c>
    </row>
    <row r="51" spans="2:8" x14ac:dyDescent="0.3">
      <c r="C51" s="13" t="s">
        <v>152</v>
      </c>
      <c r="D51" s="13" t="s">
        <v>153</v>
      </c>
      <c r="E51" s="13"/>
      <c r="F51" s="13">
        <f>6000</f>
        <v>6000</v>
      </c>
    </row>
    <row r="52" spans="2:8" x14ac:dyDescent="0.3">
      <c r="F52" t="s">
        <v>40</v>
      </c>
      <c r="G52" t="s">
        <v>59</v>
      </c>
    </row>
    <row r="53" spans="2:8" x14ac:dyDescent="0.3">
      <c r="C53">
        <v>6000</v>
      </c>
      <c r="D53">
        <v>100</v>
      </c>
      <c r="E53">
        <v>30</v>
      </c>
      <c r="F53">
        <v>0</v>
      </c>
      <c r="G53">
        <f>C53/E53</f>
        <v>200</v>
      </c>
    </row>
    <row r="54" spans="2:8" x14ac:dyDescent="0.3">
      <c r="F54">
        <f>C53/D53</f>
        <v>60</v>
      </c>
      <c r="G5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125F-4D16-4B83-9402-0C5CDA76E2BD}">
  <dimension ref="A2:L63"/>
  <sheetViews>
    <sheetView topLeftCell="A4" workbookViewId="0">
      <selection activeCell="C64" sqref="C64"/>
    </sheetView>
  </sheetViews>
  <sheetFormatPr defaultRowHeight="14.4" x14ac:dyDescent="0.3"/>
  <cols>
    <col min="3" max="3" width="13.5546875" customWidth="1"/>
  </cols>
  <sheetData>
    <row r="2" spans="1:12" x14ac:dyDescent="0.3">
      <c r="K2" t="s">
        <v>58</v>
      </c>
      <c r="L2" t="s">
        <v>60</v>
      </c>
    </row>
    <row r="3" spans="1:12" x14ac:dyDescent="0.3">
      <c r="K3" t="s">
        <v>59</v>
      </c>
      <c r="L3" t="s">
        <v>61</v>
      </c>
    </row>
    <row r="4" spans="1:12" x14ac:dyDescent="0.3">
      <c r="K4" t="s">
        <v>62</v>
      </c>
      <c r="L4">
        <v>20</v>
      </c>
    </row>
    <row r="5" spans="1:12" x14ac:dyDescent="0.3">
      <c r="K5" t="s">
        <v>63</v>
      </c>
      <c r="L5">
        <v>30</v>
      </c>
    </row>
    <row r="6" spans="1:12" x14ac:dyDescent="0.3">
      <c r="K6" t="s">
        <v>17</v>
      </c>
      <c r="L6" t="s">
        <v>64</v>
      </c>
    </row>
    <row r="7" spans="1:12" x14ac:dyDescent="0.3">
      <c r="K7" t="s">
        <v>20</v>
      </c>
      <c r="L7">
        <v>1</v>
      </c>
    </row>
    <row r="8" spans="1:12" x14ac:dyDescent="0.3">
      <c r="K8" t="s">
        <v>21</v>
      </c>
      <c r="L8">
        <v>0.5</v>
      </c>
    </row>
    <row r="9" spans="1:12" x14ac:dyDescent="0.3">
      <c r="K9" t="s">
        <v>48</v>
      </c>
      <c r="L9">
        <v>0.2</v>
      </c>
    </row>
    <row r="10" spans="1:12" x14ac:dyDescent="0.3">
      <c r="K10" t="s">
        <v>22</v>
      </c>
      <c r="L10">
        <v>0.5</v>
      </c>
    </row>
    <row r="11" spans="1:12" x14ac:dyDescent="0.3">
      <c r="K11" t="s">
        <v>23</v>
      </c>
      <c r="L11">
        <v>0.6</v>
      </c>
    </row>
    <row r="12" spans="1:12" x14ac:dyDescent="0.3">
      <c r="K12" t="s">
        <v>49</v>
      </c>
      <c r="L12">
        <v>0.3</v>
      </c>
    </row>
    <row r="13" spans="1:12" x14ac:dyDescent="0.3">
      <c r="K13" t="s">
        <v>28</v>
      </c>
      <c r="L13">
        <v>40</v>
      </c>
    </row>
    <row r="14" spans="1:12" x14ac:dyDescent="0.3">
      <c r="A14" t="s">
        <v>39</v>
      </c>
      <c r="B14" t="s">
        <v>155</v>
      </c>
      <c r="K14" t="s">
        <v>29</v>
      </c>
      <c r="L14">
        <v>42</v>
      </c>
    </row>
    <row r="15" spans="1:12" x14ac:dyDescent="0.3">
      <c r="B15" t="s">
        <v>156</v>
      </c>
      <c r="C15" t="s">
        <v>65</v>
      </c>
      <c r="F15" t="s">
        <v>40</v>
      </c>
      <c r="G15" t="s">
        <v>41</v>
      </c>
      <c r="K15" t="s">
        <v>51</v>
      </c>
      <c r="L15">
        <v>45</v>
      </c>
    </row>
    <row r="16" spans="1:12" x14ac:dyDescent="0.3">
      <c r="F16">
        <v>0</v>
      </c>
      <c r="G16">
        <f>E18/D18</f>
        <v>80</v>
      </c>
      <c r="K16" t="s">
        <v>31</v>
      </c>
      <c r="L16" t="s">
        <v>65</v>
      </c>
    </row>
    <row r="17" spans="1:12" x14ac:dyDescent="0.3">
      <c r="C17" t="s">
        <v>20</v>
      </c>
      <c r="D17" t="s">
        <v>21</v>
      </c>
      <c r="E17" t="s">
        <v>28</v>
      </c>
      <c r="F17">
        <f>E18/C18</f>
        <v>40</v>
      </c>
      <c r="G17">
        <v>0</v>
      </c>
      <c r="K17" t="s">
        <v>32</v>
      </c>
      <c r="L17" t="s">
        <v>66</v>
      </c>
    </row>
    <row r="18" spans="1:12" x14ac:dyDescent="0.3">
      <c r="C18">
        <v>1</v>
      </c>
      <c r="D18">
        <v>0.5</v>
      </c>
      <c r="E18">
        <v>40</v>
      </c>
      <c r="K18" t="s">
        <v>56</v>
      </c>
      <c r="L18" t="s">
        <v>67</v>
      </c>
    </row>
    <row r="19" spans="1:12" x14ac:dyDescent="0.3">
      <c r="K19" t="s">
        <v>68</v>
      </c>
      <c r="L19" t="s">
        <v>69</v>
      </c>
    </row>
    <row r="20" spans="1:12" x14ac:dyDescent="0.3">
      <c r="B20" t="s">
        <v>146</v>
      </c>
      <c r="C20" t="s">
        <v>66</v>
      </c>
    </row>
    <row r="21" spans="1:12" x14ac:dyDescent="0.3">
      <c r="F21" t="s">
        <v>40</v>
      </c>
      <c r="G21" t="s">
        <v>41</v>
      </c>
    </row>
    <row r="22" spans="1:12" x14ac:dyDescent="0.3">
      <c r="C22" t="s">
        <v>22</v>
      </c>
      <c r="D22" t="s">
        <v>23</v>
      </c>
      <c r="E22" t="s">
        <v>29</v>
      </c>
      <c r="F22">
        <v>0</v>
      </c>
      <c r="G22">
        <f>E23/D23</f>
        <v>70</v>
      </c>
    </row>
    <row r="23" spans="1:12" x14ac:dyDescent="0.3">
      <c r="C23">
        <v>0.5</v>
      </c>
      <c r="D23">
        <v>0.6</v>
      </c>
      <c r="E23">
        <v>42</v>
      </c>
      <c r="F23">
        <f>E23/C23</f>
        <v>84</v>
      </c>
      <c r="G23">
        <v>0</v>
      </c>
    </row>
    <row r="24" spans="1:12" x14ac:dyDescent="0.3">
      <c r="B24" t="s">
        <v>157</v>
      </c>
      <c r="C24" t="s">
        <v>67</v>
      </c>
    </row>
    <row r="25" spans="1:12" x14ac:dyDescent="0.3">
      <c r="F25" t="s">
        <v>40</v>
      </c>
      <c r="G25" t="s">
        <v>41</v>
      </c>
    </row>
    <row r="26" spans="1:12" x14ac:dyDescent="0.3">
      <c r="C26" t="s">
        <v>149</v>
      </c>
      <c r="D26" t="s">
        <v>150</v>
      </c>
      <c r="E26" t="s">
        <v>51</v>
      </c>
      <c r="F26">
        <v>0</v>
      </c>
      <c r="G26">
        <f>E27/D27</f>
        <v>150</v>
      </c>
    </row>
    <row r="27" spans="1:12" x14ac:dyDescent="0.3">
      <c r="C27">
        <v>0.2</v>
      </c>
      <c r="D27">
        <v>0.3</v>
      </c>
      <c r="E27">
        <v>45</v>
      </c>
      <c r="F27">
        <f>E27/C27</f>
        <v>225</v>
      </c>
      <c r="G27">
        <v>0</v>
      </c>
    </row>
    <row r="28" spans="1:12" x14ac:dyDescent="0.3">
      <c r="A28" t="s">
        <v>44</v>
      </c>
    </row>
    <row r="44" spans="1:6" x14ac:dyDescent="0.3">
      <c r="A44" t="s">
        <v>45</v>
      </c>
      <c r="B44" t="s">
        <v>158</v>
      </c>
      <c r="C44" t="s">
        <v>64</v>
      </c>
    </row>
    <row r="45" spans="1:6" x14ac:dyDescent="0.3">
      <c r="E45" t="s">
        <v>40</v>
      </c>
      <c r="F45" t="s">
        <v>41</v>
      </c>
    </row>
    <row r="46" spans="1:6" x14ac:dyDescent="0.3">
      <c r="B46" t="s">
        <v>11</v>
      </c>
      <c r="C46" t="s">
        <v>12</v>
      </c>
      <c r="E46">
        <v>0</v>
      </c>
      <c r="F46">
        <f>D47/C47</f>
        <v>20</v>
      </c>
    </row>
    <row r="47" spans="1:6" x14ac:dyDescent="0.3">
      <c r="B47">
        <v>20</v>
      </c>
      <c r="C47">
        <v>30</v>
      </c>
      <c r="D47">
        <f>C47*B47</f>
        <v>600</v>
      </c>
      <c r="E47">
        <f>D47/B47</f>
        <v>30</v>
      </c>
      <c r="F47">
        <v>0</v>
      </c>
    </row>
    <row r="49" spans="1:11" x14ac:dyDescent="0.3">
      <c r="A49" t="s">
        <v>47</v>
      </c>
    </row>
    <row r="50" spans="1:11" x14ac:dyDescent="0.3">
      <c r="B50" t="s">
        <v>131</v>
      </c>
      <c r="C50">
        <v>0</v>
      </c>
    </row>
    <row r="51" spans="1:11" x14ac:dyDescent="0.3">
      <c r="B51" t="s">
        <v>133</v>
      </c>
      <c r="C51">
        <v>70</v>
      </c>
    </row>
    <row r="53" spans="1:11" x14ac:dyDescent="0.3">
      <c r="B53" t="s">
        <v>159</v>
      </c>
      <c r="G53" t="s">
        <v>31</v>
      </c>
      <c r="H53" t="s">
        <v>65</v>
      </c>
    </row>
    <row r="54" spans="1:11" x14ac:dyDescent="0.3">
      <c r="G54" t="s">
        <v>32</v>
      </c>
      <c r="H54" t="s">
        <v>66</v>
      </c>
    </row>
    <row r="55" spans="1:11" x14ac:dyDescent="0.3">
      <c r="B55" t="s">
        <v>123</v>
      </c>
      <c r="C55">
        <v>1</v>
      </c>
      <c r="D55">
        <v>0.5</v>
      </c>
      <c r="G55" t="s">
        <v>56</v>
      </c>
      <c r="H55" t="s">
        <v>67</v>
      </c>
    </row>
    <row r="56" spans="1:11" x14ac:dyDescent="0.3">
      <c r="C56">
        <v>0.5</v>
      </c>
      <c r="D56">
        <v>0.6</v>
      </c>
    </row>
    <row r="57" spans="1:11" x14ac:dyDescent="0.3">
      <c r="C57">
        <v>0.2</v>
      </c>
      <c r="D57">
        <v>0.3</v>
      </c>
    </row>
    <row r="59" spans="1:11" x14ac:dyDescent="0.3">
      <c r="B59" t="s">
        <v>124</v>
      </c>
      <c r="C59">
        <v>40</v>
      </c>
      <c r="E59" t="s">
        <v>125</v>
      </c>
      <c r="F59">
        <v>40</v>
      </c>
      <c r="G59">
        <v>0.5</v>
      </c>
      <c r="I59" t="s">
        <v>126</v>
      </c>
      <c r="J59">
        <v>1</v>
      </c>
      <c r="K59">
        <v>40</v>
      </c>
    </row>
    <row r="60" spans="1:11" x14ac:dyDescent="0.3">
      <c r="C60">
        <v>42</v>
      </c>
      <c r="F60">
        <v>42</v>
      </c>
      <c r="G60">
        <v>0.6</v>
      </c>
      <c r="J60">
        <v>0.5</v>
      </c>
      <c r="K60">
        <v>42</v>
      </c>
    </row>
    <row r="61" spans="1:11" x14ac:dyDescent="0.3">
      <c r="C61">
        <v>45</v>
      </c>
      <c r="F61">
        <v>45</v>
      </c>
      <c r="G61">
        <v>0.3</v>
      </c>
      <c r="J61">
        <v>0.2</v>
      </c>
      <c r="K61">
        <v>45</v>
      </c>
    </row>
    <row r="63" spans="1:11" x14ac:dyDescent="0.3">
      <c r="B63" t="s">
        <v>128</v>
      </c>
      <c r="C63" t="e">
        <f>MDETERM(C55:D57)</f>
        <v>#VALUE!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C761-9782-4DBB-8773-D4E0E0264CBF}">
  <dimension ref="B3:K49"/>
  <sheetViews>
    <sheetView topLeftCell="A26" workbookViewId="0">
      <selection activeCell="G45" sqref="G45"/>
    </sheetView>
  </sheetViews>
  <sheetFormatPr defaultRowHeight="14.4" x14ac:dyDescent="0.3"/>
  <sheetData>
    <row r="3" spans="2:11" x14ac:dyDescent="0.3">
      <c r="J3" t="s">
        <v>58</v>
      </c>
      <c r="K3" t="s">
        <v>81</v>
      </c>
    </row>
    <row r="4" spans="2:11" x14ac:dyDescent="0.3">
      <c r="J4" t="s">
        <v>59</v>
      </c>
      <c r="K4" t="s">
        <v>82</v>
      </c>
    </row>
    <row r="5" spans="2:11" x14ac:dyDescent="0.3">
      <c r="J5" t="s">
        <v>62</v>
      </c>
      <c r="K5">
        <v>5</v>
      </c>
    </row>
    <row r="6" spans="2:11" x14ac:dyDescent="0.3">
      <c r="J6" t="s">
        <v>63</v>
      </c>
      <c r="K6">
        <v>8</v>
      </c>
    </row>
    <row r="7" spans="2:11" x14ac:dyDescent="0.3">
      <c r="J7" t="s">
        <v>83</v>
      </c>
      <c r="K7" t="s">
        <v>84</v>
      </c>
    </row>
    <row r="8" spans="2:11" x14ac:dyDescent="0.3">
      <c r="J8" t="s">
        <v>31</v>
      </c>
      <c r="K8" t="s">
        <v>85</v>
      </c>
    </row>
    <row r="9" spans="2:11" x14ac:dyDescent="0.3">
      <c r="J9" t="s">
        <v>32</v>
      </c>
      <c r="K9" t="s">
        <v>86</v>
      </c>
    </row>
    <row r="10" spans="2:11" x14ac:dyDescent="0.3">
      <c r="J10" t="s">
        <v>56</v>
      </c>
      <c r="K10" t="s">
        <v>87</v>
      </c>
    </row>
    <row r="11" spans="2:11" x14ac:dyDescent="0.3">
      <c r="J11" t="s">
        <v>68</v>
      </c>
      <c r="K11" t="s">
        <v>69</v>
      </c>
    </row>
    <row r="12" spans="2:11" x14ac:dyDescent="0.3">
      <c r="B12" s="2"/>
      <c r="C12" s="2" t="s">
        <v>71</v>
      </c>
      <c r="D12" s="2" t="s">
        <v>72</v>
      </c>
      <c r="E12" s="2" t="s">
        <v>73</v>
      </c>
      <c r="F12" s="2" t="s">
        <v>80</v>
      </c>
    </row>
    <row r="13" spans="2:11" x14ac:dyDescent="0.3">
      <c r="B13" s="2" t="s">
        <v>74</v>
      </c>
      <c r="C13" s="2">
        <v>10</v>
      </c>
      <c r="D13" s="2">
        <v>1</v>
      </c>
      <c r="E13" s="2">
        <v>10</v>
      </c>
      <c r="F13" s="2">
        <v>5</v>
      </c>
    </row>
    <row r="14" spans="2:11" x14ac:dyDescent="0.3">
      <c r="B14" s="2" t="s">
        <v>75</v>
      </c>
      <c r="C14" s="2">
        <v>1</v>
      </c>
      <c r="D14" s="2">
        <v>10</v>
      </c>
      <c r="E14" s="2">
        <v>10</v>
      </c>
      <c r="F14" s="2">
        <v>8</v>
      </c>
    </row>
    <row r="15" spans="2:11" x14ac:dyDescent="0.3">
      <c r="B15" s="2" t="s">
        <v>76</v>
      </c>
      <c r="C15" s="2" t="s">
        <v>77</v>
      </c>
      <c r="D15" s="2" t="s">
        <v>78</v>
      </c>
      <c r="E15" s="2" t="s">
        <v>79</v>
      </c>
      <c r="F15" s="2"/>
    </row>
    <row r="18" spans="2:7" x14ac:dyDescent="0.3">
      <c r="B18" s="3" t="s">
        <v>103</v>
      </c>
      <c r="C18" t="s">
        <v>160</v>
      </c>
      <c r="E18" t="s">
        <v>58</v>
      </c>
      <c r="F18" t="s">
        <v>59</v>
      </c>
    </row>
    <row r="19" spans="2:7" x14ac:dyDescent="0.3">
      <c r="B19">
        <v>10</v>
      </c>
      <c r="C19">
        <v>1</v>
      </c>
      <c r="D19">
        <v>100</v>
      </c>
      <c r="E19">
        <v>0</v>
      </c>
      <c r="F19">
        <f>D19/C19</f>
        <v>100</v>
      </c>
    </row>
    <row r="20" spans="2:7" x14ac:dyDescent="0.3">
      <c r="E20">
        <f>D19/B19</f>
        <v>10</v>
      </c>
      <c r="F20">
        <v>0</v>
      </c>
    </row>
    <row r="22" spans="2:7" x14ac:dyDescent="0.3">
      <c r="B22" t="s">
        <v>106</v>
      </c>
      <c r="C22" t="s">
        <v>161</v>
      </c>
      <c r="F22" t="s">
        <v>58</v>
      </c>
      <c r="G22" t="s">
        <v>59</v>
      </c>
    </row>
    <row r="23" spans="2:7" x14ac:dyDescent="0.3">
      <c r="F23">
        <v>0</v>
      </c>
      <c r="G23">
        <f>E24/D24</f>
        <v>20</v>
      </c>
    </row>
    <row r="24" spans="2:7" x14ac:dyDescent="0.3">
      <c r="C24">
        <v>1</v>
      </c>
      <c r="D24">
        <v>10</v>
      </c>
      <c r="E24">
        <v>200</v>
      </c>
      <c r="F24">
        <f>E24/C24</f>
        <v>200</v>
      </c>
      <c r="G24">
        <v>0</v>
      </c>
    </row>
    <row r="26" spans="2:7" x14ac:dyDescent="0.3">
      <c r="B26" t="s">
        <v>162</v>
      </c>
      <c r="C26" t="s">
        <v>163</v>
      </c>
      <c r="F26" t="s">
        <v>58</v>
      </c>
      <c r="G26" t="s">
        <v>59</v>
      </c>
    </row>
    <row r="27" spans="2:7" x14ac:dyDescent="0.3">
      <c r="F27">
        <v>0</v>
      </c>
      <c r="G27">
        <f>E28/D28</f>
        <v>30</v>
      </c>
    </row>
    <row r="28" spans="2:7" x14ac:dyDescent="0.3">
      <c r="C28">
        <v>10</v>
      </c>
      <c r="D28">
        <v>10</v>
      </c>
      <c r="E28">
        <v>300</v>
      </c>
      <c r="F28">
        <f>E28/C28</f>
        <v>30</v>
      </c>
      <c r="G28">
        <v>0</v>
      </c>
    </row>
    <row r="31" spans="2:7" x14ac:dyDescent="0.3">
      <c r="B31" t="s">
        <v>164</v>
      </c>
      <c r="C31" t="s">
        <v>165</v>
      </c>
      <c r="F31" t="s">
        <v>62</v>
      </c>
      <c r="G31" t="s">
        <v>63</v>
      </c>
    </row>
    <row r="32" spans="2:7" x14ac:dyDescent="0.3">
      <c r="F32">
        <v>0</v>
      </c>
      <c r="G32">
        <f>E33/D33</f>
        <v>50</v>
      </c>
    </row>
    <row r="33" spans="2:10" x14ac:dyDescent="0.3">
      <c r="C33">
        <v>5</v>
      </c>
      <c r="D33">
        <v>8</v>
      </c>
      <c r="E33">
        <v>400</v>
      </c>
      <c r="F33">
        <f>E33/C33</f>
        <v>80</v>
      </c>
      <c r="G33">
        <v>0</v>
      </c>
    </row>
    <row r="36" spans="2:10" x14ac:dyDescent="0.3">
      <c r="B36" s="3" t="s">
        <v>103</v>
      </c>
      <c r="C36" t="s">
        <v>160</v>
      </c>
    </row>
    <row r="37" spans="2:10" x14ac:dyDescent="0.3">
      <c r="B37" t="s">
        <v>106</v>
      </c>
      <c r="C37" t="s">
        <v>167</v>
      </c>
    </row>
    <row r="39" spans="2:10" x14ac:dyDescent="0.3">
      <c r="B39" t="s">
        <v>166</v>
      </c>
      <c r="C39" t="s">
        <v>123</v>
      </c>
      <c r="D39" s="1">
        <v>10</v>
      </c>
      <c r="E39" s="1">
        <v>1</v>
      </c>
      <c r="G39" t="s">
        <v>124</v>
      </c>
      <c r="H39" s="1">
        <v>100</v>
      </c>
    </row>
    <row r="40" spans="2:10" x14ac:dyDescent="0.3">
      <c r="D40" s="1">
        <v>1</v>
      </c>
      <c r="E40" s="1">
        <v>10</v>
      </c>
      <c r="H40" s="1">
        <v>200</v>
      </c>
    </row>
    <row r="42" spans="2:10" x14ac:dyDescent="0.3">
      <c r="C42" t="s">
        <v>125</v>
      </c>
      <c r="D42">
        <v>10</v>
      </c>
      <c r="E42">
        <v>100</v>
      </c>
      <c r="G42" t="s">
        <v>126</v>
      </c>
      <c r="H42">
        <v>100</v>
      </c>
      <c r="I42">
        <v>1</v>
      </c>
    </row>
    <row r="43" spans="2:10" x14ac:dyDescent="0.3">
      <c r="D43">
        <v>1</v>
      </c>
      <c r="E43">
        <v>200</v>
      </c>
      <c r="H43">
        <v>200</v>
      </c>
      <c r="I43">
        <v>10</v>
      </c>
    </row>
    <row r="45" spans="2:10" x14ac:dyDescent="0.3">
      <c r="C45" t="s">
        <v>168</v>
      </c>
      <c r="D45">
        <f>MDETERM(D42:E43)</f>
        <v>1900</v>
      </c>
      <c r="F45" s="13" t="s">
        <v>171</v>
      </c>
      <c r="G45" s="16">
        <f>5*D49+8*D48</f>
        <v>193.93939393939394</v>
      </c>
    </row>
    <row r="46" spans="2:10" x14ac:dyDescent="0.3">
      <c r="C46" t="s">
        <v>169</v>
      </c>
      <c r="D46">
        <f>MDETERM(H42:I43)</f>
        <v>800</v>
      </c>
    </row>
    <row r="47" spans="2:10" x14ac:dyDescent="0.3">
      <c r="C47" t="s">
        <v>170</v>
      </c>
      <c r="D47">
        <f>MDETERM(D39:E40)</f>
        <v>99</v>
      </c>
      <c r="F47" t="s">
        <v>172</v>
      </c>
      <c r="G47" t="s">
        <v>173</v>
      </c>
      <c r="I47" t="s">
        <v>58</v>
      </c>
      <c r="J47" t="s">
        <v>59</v>
      </c>
    </row>
    <row r="48" spans="2:10" x14ac:dyDescent="0.3">
      <c r="C48" t="s">
        <v>119</v>
      </c>
      <c r="D48">
        <f>D45/D47</f>
        <v>19.19191919191919</v>
      </c>
      <c r="I48">
        <v>0</v>
      </c>
      <c r="J48">
        <f>H49/G49</f>
        <v>24.2425</v>
      </c>
    </row>
    <row r="49" spans="3:10" x14ac:dyDescent="0.3">
      <c r="C49" t="s">
        <v>118</v>
      </c>
      <c r="D49">
        <f>D46/D47</f>
        <v>8.0808080808080813</v>
      </c>
      <c r="F49">
        <v>5</v>
      </c>
      <c r="G49">
        <v>8</v>
      </c>
      <c r="H49">
        <v>193.94</v>
      </c>
      <c r="I49">
        <f>H49/F49</f>
        <v>38.787999999999997</v>
      </c>
      <c r="J49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175E-9178-423C-891F-842A518B498B}">
  <dimension ref="B2:Q46"/>
  <sheetViews>
    <sheetView workbookViewId="0">
      <selection activeCell="J46" sqref="J46"/>
    </sheetView>
  </sheetViews>
  <sheetFormatPr defaultRowHeight="14.4" x14ac:dyDescent="0.3"/>
  <sheetData>
    <row r="2" spans="2:14" x14ac:dyDescent="0.3">
      <c r="L2" t="s">
        <v>92</v>
      </c>
    </row>
    <row r="3" spans="2:14" x14ac:dyDescent="0.3">
      <c r="L3" t="s">
        <v>93</v>
      </c>
    </row>
    <row r="4" spans="2:14" x14ac:dyDescent="0.3">
      <c r="L4" t="s">
        <v>62</v>
      </c>
      <c r="M4">
        <v>5</v>
      </c>
    </row>
    <row r="5" spans="2:14" x14ac:dyDescent="0.3">
      <c r="L5" t="s">
        <v>63</v>
      </c>
      <c r="M5">
        <v>10</v>
      </c>
    </row>
    <row r="6" spans="2:14" x14ac:dyDescent="0.3">
      <c r="L6" t="s">
        <v>17</v>
      </c>
      <c r="M6" t="s">
        <v>94</v>
      </c>
    </row>
    <row r="7" spans="2:14" x14ac:dyDescent="0.3">
      <c r="L7" t="s">
        <v>31</v>
      </c>
      <c r="M7" t="s">
        <v>95</v>
      </c>
    </row>
    <row r="8" spans="2:14" x14ac:dyDescent="0.3">
      <c r="L8" t="s">
        <v>32</v>
      </c>
      <c r="M8" t="s">
        <v>96</v>
      </c>
    </row>
    <row r="9" spans="2:14" x14ac:dyDescent="0.3">
      <c r="L9" t="s">
        <v>68</v>
      </c>
      <c r="M9" t="s">
        <v>97</v>
      </c>
      <c r="N9" t="s">
        <v>98</v>
      </c>
    </row>
    <row r="14" spans="2:14" x14ac:dyDescent="0.3">
      <c r="B14" s="2"/>
      <c r="C14" s="2" t="s">
        <v>71</v>
      </c>
      <c r="D14" s="2" t="s">
        <v>72</v>
      </c>
      <c r="E14" s="2" t="s">
        <v>80</v>
      </c>
    </row>
    <row r="15" spans="2:14" x14ac:dyDescent="0.3">
      <c r="B15" s="2" t="s">
        <v>88</v>
      </c>
      <c r="C15" s="2">
        <v>30</v>
      </c>
      <c r="D15" s="2">
        <v>40</v>
      </c>
      <c r="E15" s="2">
        <v>5</v>
      </c>
    </row>
    <row r="16" spans="2:14" x14ac:dyDescent="0.3">
      <c r="B16" s="2" t="s">
        <v>89</v>
      </c>
      <c r="C16" s="2">
        <v>60</v>
      </c>
      <c r="D16" s="2">
        <v>15</v>
      </c>
      <c r="E16" s="2">
        <v>10</v>
      </c>
    </row>
    <row r="17" spans="2:12" x14ac:dyDescent="0.3">
      <c r="B17" s="2" t="s">
        <v>76</v>
      </c>
      <c r="C17" s="2" t="s">
        <v>90</v>
      </c>
      <c r="D17" s="2" t="s">
        <v>91</v>
      </c>
      <c r="E17" s="2"/>
    </row>
    <row r="20" spans="2:12" x14ac:dyDescent="0.3">
      <c r="B20" s="3" t="s">
        <v>103</v>
      </c>
      <c r="C20" t="s">
        <v>174</v>
      </c>
      <c r="E20" t="s">
        <v>58</v>
      </c>
      <c r="F20" t="s">
        <v>59</v>
      </c>
    </row>
    <row r="21" spans="2:12" x14ac:dyDescent="0.3">
      <c r="E21">
        <v>0</v>
      </c>
      <c r="F21">
        <f>D22/C22</f>
        <v>8</v>
      </c>
    </row>
    <row r="22" spans="2:12" x14ac:dyDescent="0.3">
      <c r="B22">
        <v>30</v>
      </c>
      <c r="C22">
        <v>60</v>
      </c>
      <c r="D22">
        <v>480</v>
      </c>
      <c r="E22">
        <f>D22/B22</f>
        <v>16</v>
      </c>
      <c r="F22">
        <v>0</v>
      </c>
    </row>
    <row r="24" spans="2:12" x14ac:dyDescent="0.3">
      <c r="B24" t="s">
        <v>106</v>
      </c>
      <c r="C24" t="s">
        <v>175</v>
      </c>
      <c r="E24" t="s">
        <v>58</v>
      </c>
      <c r="F24" t="s">
        <v>59</v>
      </c>
    </row>
    <row r="25" spans="2:12" x14ac:dyDescent="0.3">
      <c r="E25">
        <v>0</v>
      </c>
      <c r="F25">
        <f>D26/C26</f>
        <v>16</v>
      </c>
    </row>
    <row r="26" spans="2:12" x14ac:dyDescent="0.3">
      <c r="B26">
        <v>40</v>
      </c>
      <c r="C26">
        <v>15</v>
      </c>
      <c r="D26">
        <v>240</v>
      </c>
      <c r="E26">
        <f>D26/B26</f>
        <v>6</v>
      </c>
      <c r="F26">
        <v>0</v>
      </c>
    </row>
    <row r="28" spans="2:12" x14ac:dyDescent="0.3">
      <c r="B28" t="s">
        <v>164</v>
      </c>
      <c r="C28" t="s">
        <v>176</v>
      </c>
      <c r="E28" t="s">
        <v>58</v>
      </c>
      <c r="F28" t="s">
        <v>59</v>
      </c>
    </row>
    <row r="29" spans="2:12" x14ac:dyDescent="0.3">
      <c r="E29">
        <v>0</v>
      </c>
      <c r="F29">
        <f>D30/C30</f>
        <v>5</v>
      </c>
    </row>
    <row r="30" spans="2:12" x14ac:dyDescent="0.3">
      <c r="B30">
        <v>5</v>
      </c>
      <c r="C30">
        <v>10</v>
      </c>
      <c r="D30">
        <v>50</v>
      </c>
      <c r="E30">
        <f>D30/B30</f>
        <v>10</v>
      </c>
      <c r="F30">
        <v>0</v>
      </c>
      <c r="J30" t="s">
        <v>58</v>
      </c>
      <c r="K30" t="s">
        <v>59</v>
      </c>
      <c r="L30" t="s">
        <v>179</v>
      </c>
    </row>
    <row r="31" spans="2:12" x14ac:dyDescent="0.3">
      <c r="I31" t="s">
        <v>178</v>
      </c>
      <c r="J31">
        <v>6</v>
      </c>
      <c r="K31">
        <v>0</v>
      </c>
    </row>
    <row r="32" spans="2:12" x14ac:dyDescent="0.3">
      <c r="J32">
        <v>6</v>
      </c>
      <c r="K32">
        <v>20</v>
      </c>
    </row>
    <row r="33" spans="2:17" x14ac:dyDescent="0.3">
      <c r="B33" t="s">
        <v>106</v>
      </c>
      <c r="C33" t="s">
        <v>175</v>
      </c>
      <c r="E33" s="1" t="s">
        <v>181</v>
      </c>
      <c r="F33" s="1"/>
      <c r="M33" t="s">
        <v>40</v>
      </c>
      <c r="N33">
        <v>6</v>
      </c>
    </row>
    <row r="34" spans="2:17" x14ac:dyDescent="0.3">
      <c r="B34" t="s">
        <v>177</v>
      </c>
      <c r="I34" t="s">
        <v>180</v>
      </c>
      <c r="J34">
        <v>0</v>
      </c>
      <c r="K34">
        <v>2</v>
      </c>
      <c r="M34" t="s">
        <v>59</v>
      </c>
      <c r="N34">
        <v>5</v>
      </c>
    </row>
    <row r="35" spans="2:17" x14ac:dyDescent="0.3">
      <c r="B35" t="s">
        <v>123</v>
      </c>
      <c r="C35">
        <v>30</v>
      </c>
      <c r="D35">
        <v>40</v>
      </c>
      <c r="F35" t="s">
        <v>124</v>
      </c>
      <c r="G35">
        <v>480</v>
      </c>
      <c r="J35">
        <v>20</v>
      </c>
      <c r="K35">
        <v>2</v>
      </c>
      <c r="M35" t="s">
        <v>172</v>
      </c>
      <c r="N35">
        <f>5*N33+10*N34</f>
        <v>80</v>
      </c>
    </row>
    <row r="36" spans="2:17" x14ac:dyDescent="0.3">
      <c r="C36">
        <v>60</v>
      </c>
      <c r="D36">
        <v>15</v>
      </c>
      <c r="G36">
        <v>240</v>
      </c>
      <c r="P36" t="s">
        <v>58</v>
      </c>
      <c r="Q36" t="s">
        <v>59</v>
      </c>
    </row>
    <row r="37" spans="2:17" x14ac:dyDescent="0.3">
      <c r="M37">
        <v>5</v>
      </c>
      <c r="N37">
        <v>10</v>
      </c>
      <c r="O37">
        <v>80</v>
      </c>
      <c r="P37">
        <v>0</v>
      </c>
      <c r="Q37">
        <f>O37/N37</f>
        <v>8</v>
      </c>
    </row>
    <row r="38" spans="2:17" x14ac:dyDescent="0.3">
      <c r="B38" t="s">
        <v>125</v>
      </c>
      <c r="C38">
        <v>480</v>
      </c>
      <c r="D38">
        <v>40</v>
      </c>
      <c r="F38" t="s">
        <v>126</v>
      </c>
      <c r="G38">
        <v>30</v>
      </c>
      <c r="H38">
        <v>480</v>
      </c>
      <c r="P38">
        <f>O37/M37</f>
        <v>16</v>
      </c>
      <c r="Q38">
        <v>0</v>
      </c>
    </row>
    <row r="39" spans="2:17" x14ac:dyDescent="0.3">
      <c r="C39">
        <v>240</v>
      </c>
      <c r="D39">
        <v>15</v>
      </c>
      <c r="G39">
        <v>60</v>
      </c>
      <c r="H39">
        <v>240</v>
      </c>
    </row>
    <row r="41" spans="2:17" x14ac:dyDescent="0.3">
      <c r="B41" t="s">
        <v>168</v>
      </c>
      <c r="C41">
        <f>MDETERM(C38:D39)</f>
        <v>-2400</v>
      </c>
    </row>
    <row r="42" spans="2:17" x14ac:dyDescent="0.3">
      <c r="B42" t="s">
        <v>169</v>
      </c>
      <c r="C42">
        <f>MDETERM(G38:H39)</f>
        <v>-21600</v>
      </c>
    </row>
    <row r="43" spans="2:17" x14ac:dyDescent="0.3">
      <c r="B43" t="s">
        <v>170</v>
      </c>
      <c r="C43">
        <f>MDETERM(C35:D36)</f>
        <v>-1950</v>
      </c>
    </row>
    <row r="45" spans="2:17" x14ac:dyDescent="0.3">
      <c r="B45" t="s">
        <v>118</v>
      </c>
      <c r="C45">
        <f>C41/C43</f>
        <v>1.2307692307692308</v>
      </c>
      <c r="E45">
        <f>5*C45+10*C46</f>
        <v>116.92307692307693</v>
      </c>
    </row>
    <row r="46" spans="2:17" x14ac:dyDescent="0.3">
      <c r="B46" t="s">
        <v>119</v>
      </c>
      <c r="C46">
        <f>C42/C43</f>
        <v>11.076923076923077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5E89-03DA-4C76-A708-1EFAF62C49C3}">
  <dimension ref="A18:L56"/>
  <sheetViews>
    <sheetView tabSelected="1" topLeftCell="A35" workbookViewId="0">
      <selection activeCell="M46" sqref="M46"/>
    </sheetView>
  </sheetViews>
  <sheetFormatPr defaultRowHeight="14.4" x14ac:dyDescent="0.3"/>
  <sheetData>
    <row r="18" spans="1:8" x14ac:dyDescent="0.3">
      <c r="B18" t="s">
        <v>185</v>
      </c>
      <c r="C18" t="s">
        <v>186</v>
      </c>
      <c r="D18" t="s">
        <v>187</v>
      </c>
      <c r="E18" t="s">
        <v>188</v>
      </c>
    </row>
    <row r="19" spans="1:8" x14ac:dyDescent="0.3">
      <c r="A19" t="s">
        <v>182</v>
      </c>
      <c r="B19">
        <v>10</v>
      </c>
      <c r="C19">
        <v>5</v>
      </c>
      <c r="D19">
        <v>2</v>
      </c>
      <c r="E19">
        <v>0.6</v>
      </c>
      <c r="G19" t="s">
        <v>62</v>
      </c>
      <c r="H19">
        <v>0.6</v>
      </c>
    </row>
    <row r="20" spans="1:8" x14ac:dyDescent="0.3">
      <c r="A20" t="s">
        <v>184</v>
      </c>
      <c r="B20">
        <v>4</v>
      </c>
      <c r="C20">
        <v>5</v>
      </c>
      <c r="D20">
        <v>6</v>
      </c>
      <c r="E20">
        <v>1</v>
      </c>
      <c r="G20" t="s">
        <v>63</v>
      </c>
      <c r="H20">
        <v>1</v>
      </c>
    </row>
    <row r="21" spans="1:8" x14ac:dyDescent="0.3">
      <c r="A21" t="s">
        <v>183</v>
      </c>
      <c r="B21">
        <v>20</v>
      </c>
      <c r="C21">
        <v>20</v>
      </c>
      <c r="D21">
        <v>12</v>
      </c>
      <c r="G21" t="s">
        <v>189</v>
      </c>
    </row>
    <row r="22" spans="1:8" x14ac:dyDescent="0.3">
      <c r="G22" t="s">
        <v>190</v>
      </c>
    </row>
    <row r="23" spans="1:8" x14ac:dyDescent="0.3">
      <c r="G23" t="s">
        <v>191</v>
      </c>
      <c r="H23" t="s">
        <v>194</v>
      </c>
    </row>
    <row r="24" spans="1:8" x14ac:dyDescent="0.3">
      <c r="G24" t="s">
        <v>192</v>
      </c>
      <c r="H24" t="s">
        <v>195</v>
      </c>
    </row>
    <row r="25" spans="1:8" x14ac:dyDescent="0.3">
      <c r="G25" t="s">
        <v>193</v>
      </c>
      <c r="H25" t="s">
        <v>196</v>
      </c>
    </row>
    <row r="26" spans="1:8" x14ac:dyDescent="0.3">
      <c r="E26" t="s">
        <v>58</v>
      </c>
      <c r="F26" t="s">
        <v>59</v>
      </c>
    </row>
    <row r="27" spans="1:8" x14ac:dyDescent="0.3">
      <c r="A27" t="s">
        <v>103</v>
      </c>
      <c r="E27">
        <v>0</v>
      </c>
      <c r="F27">
        <f>D28/C28</f>
        <v>5</v>
      </c>
    </row>
    <row r="28" spans="1:8" x14ac:dyDescent="0.3">
      <c r="B28">
        <v>10</v>
      </c>
      <c r="C28">
        <v>4</v>
      </c>
      <c r="D28">
        <v>20</v>
      </c>
      <c r="E28">
        <f>D28/B28</f>
        <v>2</v>
      </c>
      <c r="F28">
        <v>0</v>
      </c>
    </row>
    <row r="30" spans="1:8" x14ac:dyDescent="0.3">
      <c r="A30" t="s">
        <v>106</v>
      </c>
      <c r="E30" t="s">
        <v>58</v>
      </c>
      <c r="F30" t="s">
        <v>59</v>
      </c>
    </row>
    <row r="31" spans="1:8" x14ac:dyDescent="0.3">
      <c r="B31">
        <v>5</v>
      </c>
      <c r="C31">
        <v>5</v>
      </c>
      <c r="D31">
        <v>20</v>
      </c>
      <c r="E31">
        <v>0</v>
      </c>
      <c r="F31">
        <f>D31/C31</f>
        <v>4</v>
      </c>
    </row>
    <row r="32" spans="1:8" x14ac:dyDescent="0.3">
      <c r="E32">
        <f>D31/B31</f>
        <v>4</v>
      </c>
      <c r="F32">
        <v>0</v>
      </c>
    </row>
    <row r="34" spans="1:8" x14ac:dyDescent="0.3">
      <c r="A34" t="s">
        <v>162</v>
      </c>
      <c r="E34" t="s">
        <v>40</v>
      </c>
      <c r="F34" t="s">
        <v>41</v>
      </c>
    </row>
    <row r="35" spans="1:8" x14ac:dyDescent="0.3">
      <c r="B35">
        <v>2</v>
      </c>
      <c r="C35">
        <v>6</v>
      </c>
      <c r="D35">
        <v>12</v>
      </c>
      <c r="E35">
        <v>0</v>
      </c>
      <c r="F35">
        <f>D35/C35</f>
        <v>2</v>
      </c>
    </row>
    <row r="36" spans="1:8" x14ac:dyDescent="0.3">
      <c r="E36">
        <f>D35/B35</f>
        <v>6</v>
      </c>
      <c r="F36">
        <v>0</v>
      </c>
    </row>
    <row r="40" spans="1:8" x14ac:dyDescent="0.3">
      <c r="A40" t="s">
        <v>197</v>
      </c>
      <c r="E40" t="s">
        <v>58</v>
      </c>
      <c r="F40" t="s">
        <v>59</v>
      </c>
    </row>
    <row r="41" spans="1:8" x14ac:dyDescent="0.3">
      <c r="B41">
        <v>0.6</v>
      </c>
      <c r="C41">
        <v>1</v>
      </c>
      <c r="D41">
        <v>6</v>
      </c>
      <c r="E41">
        <v>0</v>
      </c>
      <c r="F41">
        <f>D41/C41</f>
        <v>6</v>
      </c>
    </row>
    <row r="42" spans="1:8" x14ac:dyDescent="0.3">
      <c r="E42">
        <f>D41/B41</f>
        <v>10</v>
      </c>
      <c r="F42">
        <v>0</v>
      </c>
    </row>
    <row r="44" spans="1:8" x14ac:dyDescent="0.3">
      <c r="A44" t="s">
        <v>123</v>
      </c>
      <c r="B44">
        <v>5</v>
      </c>
      <c r="C44">
        <v>5</v>
      </c>
      <c r="E44" t="s">
        <v>124</v>
      </c>
      <c r="F44">
        <v>20</v>
      </c>
    </row>
    <row r="45" spans="1:8" x14ac:dyDescent="0.3">
      <c r="B45">
        <v>2</v>
      </c>
      <c r="C45">
        <v>6</v>
      </c>
      <c r="F45">
        <v>12</v>
      </c>
    </row>
    <row r="48" spans="1:8" x14ac:dyDescent="0.3">
      <c r="B48" t="s">
        <v>125</v>
      </c>
      <c r="C48">
        <v>20</v>
      </c>
      <c r="D48">
        <v>5</v>
      </c>
      <c r="F48" t="s">
        <v>126</v>
      </c>
      <c r="G48">
        <v>5</v>
      </c>
      <c r="H48">
        <v>20</v>
      </c>
    </row>
    <row r="49" spans="2:12" x14ac:dyDescent="0.3">
      <c r="C49">
        <v>12</v>
      </c>
      <c r="D49">
        <v>6</v>
      </c>
      <c r="G49">
        <v>2</v>
      </c>
      <c r="H49">
        <v>12</v>
      </c>
    </row>
    <row r="51" spans="2:12" x14ac:dyDescent="0.3">
      <c r="B51" t="s">
        <v>170</v>
      </c>
      <c r="C51">
        <f>MDETERM(B44:C45)</f>
        <v>20</v>
      </c>
    </row>
    <row r="52" spans="2:12" x14ac:dyDescent="0.3">
      <c r="B52" t="s">
        <v>168</v>
      </c>
      <c r="C52">
        <f>MDETERM(C48:D49)</f>
        <v>60</v>
      </c>
    </row>
    <row r="53" spans="2:12" x14ac:dyDescent="0.3">
      <c r="B53" t="s">
        <v>169</v>
      </c>
      <c r="C53">
        <f>MDETERM(G48:H49)</f>
        <v>20</v>
      </c>
    </row>
    <row r="54" spans="2:12" x14ac:dyDescent="0.3">
      <c r="B54" t="s">
        <v>40</v>
      </c>
      <c r="C54" s="17">
        <f>C52/C51</f>
        <v>3</v>
      </c>
      <c r="E54" t="s">
        <v>198</v>
      </c>
      <c r="F54" s="17">
        <f>C54*0.6+1*C55</f>
        <v>2.8</v>
      </c>
      <c r="K54" t="s">
        <v>58</v>
      </c>
      <c r="L54" t="s">
        <v>59</v>
      </c>
    </row>
    <row r="55" spans="2:12" x14ac:dyDescent="0.3">
      <c r="B55" t="s">
        <v>119</v>
      </c>
      <c r="C55" s="17">
        <f>C53/C51</f>
        <v>1</v>
      </c>
      <c r="E55" t="s">
        <v>199</v>
      </c>
      <c r="F55" t="s">
        <v>200</v>
      </c>
      <c r="K55">
        <v>0</v>
      </c>
      <c r="L55">
        <f>J56/I56</f>
        <v>2.8</v>
      </c>
    </row>
    <row r="56" spans="2:12" x14ac:dyDescent="0.3">
      <c r="H56">
        <v>0.6</v>
      </c>
      <c r="I56">
        <v>1</v>
      </c>
      <c r="J56">
        <v>2.8</v>
      </c>
      <c r="K56" s="17">
        <f>J56/H56</f>
        <v>4.666666666666667</v>
      </c>
      <c r="L5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Z1</vt:lpstr>
      <vt:lpstr>Z2</vt:lpstr>
      <vt:lpstr>Z3</vt:lpstr>
      <vt:lpstr>Z1min</vt:lpstr>
      <vt:lpstr>Z2min</vt:lpstr>
      <vt:lpstr>Z3min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prac608</dc:creator>
  <cp:lastModifiedBy>prac608</cp:lastModifiedBy>
  <dcterms:created xsi:type="dcterms:W3CDTF">2026-03-09T07:05:52Z</dcterms:created>
  <dcterms:modified xsi:type="dcterms:W3CDTF">2026-03-23T08:28:26Z</dcterms:modified>
</cp:coreProperties>
</file>