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C9A0AC8E-C7EE-4C4F-8BAB-216F654CBEC8}" xr6:coauthVersionLast="36" xr6:coauthVersionMax="36" xr10:uidLastSave="{00000000-0000-0000-0000-000000000000}"/>
  <bookViews>
    <workbookView xWindow="0" yWindow="0" windowWidth="23040" windowHeight="8940" activeTab="1" xr2:uid="{686BC011-2ED0-49AB-A7F8-FCF94A6EAB1E}"/>
  </bookViews>
  <sheets>
    <sheet name="z1 macierzowo" sheetId="1" r:id="rId1"/>
    <sheet name="z2 macierzowo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X35" i="2" l="1"/>
  <c r="M35" i="2"/>
  <c r="L35" i="2"/>
  <c r="X34" i="2"/>
  <c r="M34" i="2"/>
  <c r="L34" i="2"/>
  <c r="R33" i="2"/>
  <c r="R27" i="2"/>
  <c r="N27" i="2"/>
  <c r="T26" i="2"/>
  <c r="R26" i="2"/>
  <c r="P26" i="2"/>
  <c r="P27" i="2" s="1"/>
  <c r="N26" i="2"/>
  <c r="AM25" i="2"/>
  <c r="AL25" i="2"/>
  <c r="AK25" i="2"/>
  <c r="X25" i="2"/>
  <c r="U25" i="2"/>
  <c r="T25" i="2"/>
  <c r="T35" i="2" s="1"/>
  <c r="N40" i="2" s="1"/>
  <c r="S25" i="2"/>
  <c r="R25" i="2"/>
  <c r="Q25" i="2"/>
  <c r="P25" i="2"/>
  <c r="O25" i="2"/>
  <c r="N25" i="2"/>
  <c r="M25" i="2"/>
  <c r="L25" i="2"/>
  <c r="AM24" i="2"/>
  <c r="AL24" i="2"/>
  <c r="AK24" i="2"/>
  <c r="U24" i="2"/>
  <c r="T24" i="2"/>
  <c r="T34" i="2" s="1"/>
  <c r="S24" i="2"/>
  <c r="S34" i="2" s="1"/>
  <c r="S35" i="2" s="1"/>
  <c r="R24" i="2"/>
  <c r="R34" i="2" s="1"/>
  <c r="P24" i="2"/>
  <c r="P34" i="2" s="1"/>
  <c r="P33" i="2" s="1"/>
  <c r="O24" i="2"/>
  <c r="O34" i="2" s="1"/>
  <c r="O35" i="2" s="1"/>
  <c r="N24" i="2"/>
  <c r="N34" i="2" s="1"/>
  <c r="N33" i="2" s="1"/>
  <c r="AM23" i="2"/>
  <c r="AL23" i="2"/>
  <c r="AK23" i="2"/>
  <c r="U23" i="2"/>
  <c r="T23" i="2"/>
  <c r="S23" i="2"/>
  <c r="R23" i="2"/>
  <c r="Q23" i="2"/>
  <c r="P23" i="2"/>
  <c r="O23" i="2"/>
  <c r="N23" i="2"/>
  <c r="AE16" i="2"/>
  <c r="AC16" i="2"/>
  <c r="AA16" i="2"/>
  <c r="S16" i="2"/>
  <c r="AF15" i="2"/>
  <c r="AE15" i="2"/>
  <c r="AD15" i="2"/>
  <c r="AD16" i="2" s="1"/>
  <c r="AC15" i="2"/>
  <c r="AB15" i="2"/>
  <c r="AB16" i="2" s="1"/>
  <c r="AA15" i="2"/>
  <c r="Z15" i="2"/>
  <c r="Z16" i="2" s="1"/>
  <c r="T15" i="2"/>
  <c r="S15" i="2"/>
  <c r="R15" i="2"/>
  <c r="R16" i="2" s="1"/>
  <c r="Q15" i="2"/>
  <c r="Q16" i="2" s="1"/>
  <c r="P15" i="2"/>
  <c r="P16" i="2" s="1"/>
  <c r="O15" i="2"/>
  <c r="O16" i="2" s="1"/>
  <c r="N15" i="2"/>
  <c r="N16" i="2" s="1"/>
  <c r="AM14" i="2"/>
  <c r="AL14" i="2"/>
  <c r="AK14" i="2"/>
  <c r="AG14" i="2"/>
  <c r="AM13" i="2"/>
  <c r="AL13" i="2"/>
  <c r="AK13" i="2"/>
  <c r="AG13" i="2"/>
  <c r="AM12" i="2"/>
  <c r="AL12" i="2"/>
  <c r="AK12" i="2"/>
  <c r="AG12" i="2"/>
  <c r="B174" i="1"/>
  <c r="B173" i="1"/>
  <c r="B172" i="1"/>
  <c r="D180" i="1" s="1" a="1"/>
  <c r="F167" i="1"/>
  <c r="F166" i="1"/>
  <c r="F165" i="1"/>
  <c r="E154" i="1"/>
  <c r="D154" i="1"/>
  <c r="C154" i="1"/>
  <c r="E153" i="1"/>
  <c r="D153" i="1"/>
  <c r="C153" i="1"/>
  <c r="E152" i="1"/>
  <c r="D152" i="1"/>
  <c r="C152" i="1"/>
  <c r="D134" i="1" a="1"/>
  <c r="E134" i="1" s="1"/>
  <c r="E139" i="1" s="1"/>
  <c r="E143" i="1" s="1"/>
  <c r="B128" i="1"/>
  <c r="B126" i="1"/>
  <c r="F114" i="1"/>
  <c r="F113" i="1"/>
  <c r="E109" i="1"/>
  <c r="D109" i="1"/>
  <c r="C109" i="1"/>
  <c r="E108" i="1"/>
  <c r="D108" i="1"/>
  <c r="C108" i="1"/>
  <c r="E107" i="1"/>
  <c r="H107" i="1" s="1" a="1"/>
  <c r="D107" i="1"/>
  <c r="C107" i="1"/>
  <c r="B81" i="1"/>
  <c r="D89" i="1" s="1" a="1"/>
  <c r="F69" i="1"/>
  <c r="G68" i="1"/>
  <c r="G67" i="1"/>
  <c r="E62" i="1"/>
  <c r="D62" i="1"/>
  <c r="C62" i="1"/>
  <c r="E61" i="1"/>
  <c r="D61" i="1"/>
  <c r="C61" i="1"/>
  <c r="H60" i="1" a="1"/>
  <c r="J61" i="1" s="1"/>
  <c r="E60" i="1"/>
  <c r="D60" i="1"/>
  <c r="C60" i="1"/>
  <c r="E43" i="1"/>
  <c r="D43" i="1"/>
  <c r="C43" i="1"/>
  <c r="E42" i="1"/>
  <c r="D42" i="1"/>
  <c r="C42" i="1"/>
  <c r="K48" i="1" s="1" a="1"/>
  <c r="E41" i="1"/>
  <c r="D41" i="1"/>
  <c r="C41" i="1"/>
  <c r="K36" i="1"/>
  <c r="F76" i="1" s="1"/>
  <c r="E36" i="1"/>
  <c r="H115" i="1" s="1"/>
  <c r="D36" i="1"/>
  <c r="C36" i="1"/>
  <c r="F160" i="1" s="1"/>
  <c r="K35" i="1"/>
  <c r="F75" i="1" s="1"/>
  <c r="E35" i="1"/>
  <c r="H68" i="1" s="1"/>
  <c r="D35" i="1"/>
  <c r="G159" i="1" s="1"/>
  <c r="C35" i="1"/>
  <c r="F159" i="1" s="1"/>
  <c r="K34" i="1"/>
  <c r="F74" i="1" s="1"/>
  <c r="E34" i="1"/>
  <c r="H67" i="1" s="1"/>
  <c r="D34" i="1"/>
  <c r="G158" i="1" s="1"/>
  <c r="C34" i="1"/>
  <c r="F158" i="1" s="1"/>
  <c r="I29" i="1"/>
  <c r="E29" i="1"/>
  <c r="D29" i="1"/>
  <c r="J28" i="1"/>
  <c r="I28" i="1"/>
  <c r="H28" i="1"/>
  <c r="H29" i="1" s="1"/>
  <c r="G28" i="1"/>
  <c r="G29" i="1" s="1"/>
  <c r="F28" i="1"/>
  <c r="F29" i="1" s="1"/>
  <c r="E28" i="1"/>
  <c r="D28" i="1"/>
  <c r="K27" i="1"/>
  <c r="K26" i="1"/>
  <c r="K25" i="1"/>
  <c r="J108" i="1" l="1"/>
  <c r="E114" i="1" s="1"/>
  <c r="E120" i="1" s="1"/>
  <c r="I127" i="1" s="1"/>
  <c r="I139" i="1" s="1"/>
  <c r="I107" i="1"/>
  <c r="D113" i="1" s="1"/>
  <c r="D119" i="1" s="1"/>
  <c r="H126" i="1" s="1"/>
  <c r="H138" i="1" s="1"/>
  <c r="J109" i="1"/>
  <c r="E115" i="1" s="1"/>
  <c r="E121" i="1" s="1"/>
  <c r="I128" i="1" s="1"/>
  <c r="I140" i="1" s="1"/>
  <c r="I108" i="1"/>
  <c r="D114" i="1" s="1"/>
  <c r="D120" i="1" s="1"/>
  <c r="H127" i="1" s="1"/>
  <c r="H139" i="1" s="1"/>
  <c r="H107" i="1"/>
  <c r="C113" i="1" s="1"/>
  <c r="H108" i="1"/>
  <c r="C114" i="1" s="1"/>
  <c r="C120" i="1" s="1"/>
  <c r="G127" i="1" s="1"/>
  <c r="G139" i="1" s="1"/>
  <c r="H109" i="1"/>
  <c r="C115" i="1" s="1"/>
  <c r="C121" i="1" s="1"/>
  <c r="G128" i="1" s="1"/>
  <c r="G140" i="1" s="1"/>
  <c r="J107" i="1"/>
  <c r="E113" i="1" s="1"/>
  <c r="E119" i="1" s="1"/>
  <c r="I126" i="1" s="1"/>
  <c r="I138" i="1" s="1"/>
  <c r="I109" i="1"/>
  <c r="D115" i="1" s="1"/>
  <c r="D121" i="1" s="1"/>
  <c r="H128" i="1" s="1"/>
  <c r="H140" i="1" s="1"/>
  <c r="E89" i="1"/>
  <c r="E94" i="1" s="1"/>
  <c r="E98" i="1" s="1"/>
  <c r="D89" i="1"/>
  <c r="F89" i="1"/>
  <c r="F94" i="1" s="1"/>
  <c r="F98" i="1" s="1"/>
  <c r="M48" i="1"/>
  <c r="L48" i="1"/>
  <c r="K48" i="1"/>
  <c r="I82" i="1"/>
  <c r="I94" i="1" s="1"/>
  <c r="E68" i="1"/>
  <c r="E75" i="1" s="1"/>
  <c r="I61" i="1"/>
  <c r="H60" i="1"/>
  <c r="F121" i="1"/>
  <c r="H62" i="1"/>
  <c r="J60" i="1"/>
  <c r="F134" i="1"/>
  <c r="F139" i="1" s="1"/>
  <c r="F143" i="1" s="1"/>
  <c r="D134" i="1"/>
  <c r="P35" i="2"/>
  <c r="P36" i="2" s="1"/>
  <c r="P37" i="2" s="1"/>
  <c r="G115" i="1"/>
  <c r="G160" i="1"/>
  <c r="K45" i="1" a="1"/>
  <c r="I60" i="1"/>
  <c r="I62" i="1"/>
  <c r="G69" i="1"/>
  <c r="G113" i="1"/>
  <c r="G114" i="1"/>
  <c r="K52" i="1"/>
  <c r="H158" i="1"/>
  <c r="H113" i="1"/>
  <c r="H159" i="1"/>
  <c r="H114" i="1"/>
  <c r="H160" i="1"/>
  <c r="H69" i="1"/>
  <c r="H61" i="1"/>
  <c r="J62" i="1"/>
  <c r="F119" i="1"/>
  <c r="F120" i="1"/>
  <c r="H152" i="1" a="1"/>
  <c r="F180" i="1"/>
  <c r="F185" i="1" s="1"/>
  <c r="F189" i="1" s="1"/>
  <c r="D180" i="1"/>
  <c r="E180" i="1"/>
  <c r="E185" i="1" s="1"/>
  <c r="E189" i="1" s="1"/>
  <c r="AC33" i="2" a="1"/>
  <c r="N42" i="2"/>
  <c r="T33" i="2"/>
  <c r="F115" i="1"/>
  <c r="AC23" i="2" a="1"/>
  <c r="O26" i="2"/>
  <c r="O27" i="2" s="1"/>
  <c r="O33" i="2"/>
  <c r="O36" i="2" s="1"/>
  <c r="O37" i="2" s="1"/>
  <c r="S26" i="2"/>
  <c r="S27" i="2" s="1"/>
  <c r="S33" i="2"/>
  <c r="S36" i="2" s="1"/>
  <c r="S37" i="2" s="1"/>
  <c r="Q35" i="2"/>
  <c r="Q24" i="2"/>
  <c r="Q34" i="2" s="1"/>
  <c r="Q33" i="2" s="1"/>
  <c r="Q36" i="2" s="1"/>
  <c r="Q37" i="2" s="1"/>
  <c r="F67" i="1"/>
  <c r="F68" i="1"/>
  <c r="N35" i="2"/>
  <c r="N36" i="2" s="1"/>
  <c r="N37" i="2" s="1"/>
  <c r="R35" i="2"/>
  <c r="R36" i="2" s="1"/>
  <c r="R37" i="2" s="1"/>
  <c r="D139" i="1" l="1"/>
  <c r="AE24" i="2"/>
  <c r="AD23" i="2"/>
  <c r="AE25" i="2"/>
  <c r="AD24" i="2"/>
  <c r="AC23" i="2"/>
  <c r="AD25" i="2"/>
  <c r="AC24" i="2"/>
  <c r="AC25" i="2"/>
  <c r="AE23" i="2"/>
  <c r="AE26" i="2" s="1"/>
  <c r="AE27" i="2" s="1"/>
  <c r="AE34" i="2"/>
  <c r="AD33" i="2"/>
  <c r="AE35" i="2"/>
  <c r="AD34" i="2"/>
  <c r="AC33" i="2"/>
  <c r="AD35" i="2"/>
  <c r="AC34" i="2"/>
  <c r="AC35" i="2"/>
  <c r="AE33" i="2"/>
  <c r="D185" i="1"/>
  <c r="D69" i="1"/>
  <c r="D76" i="1" s="1"/>
  <c r="H83" i="1"/>
  <c r="H95" i="1" s="1"/>
  <c r="G81" i="1"/>
  <c r="G93" i="1" s="1"/>
  <c r="C67" i="1"/>
  <c r="D94" i="1"/>
  <c r="Q26" i="2"/>
  <c r="Q27" i="2" s="1"/>
  <c r="I83" i="1"/>
  <c r="I95" i="1" s="1"/>
  <c r="E69" i="1"/>
  <c r="E76" i="1" s="1"/>
  <c r="H81" i="1"/>
  <c r="H93" i="1" s="1"/>
  <c r="D67" i="1"/>
  <c r="D74" i="1" s="1"/>
  <c r="E67" i="1"/>
  <c r="E74" i="1" s="1"/>
  <c r="I81" i="1"/>
  <c r="I93" i="1" s="1"/>
  <c r="D68" i="1"/>
  <c r="D75" i="1" s="1"/>
  <c r="H82" i="1"/>
  <c r="H94" i="1" s="1"/>
  <c r="N43" i="2"/>
  <c r="M49" i="2" s="1"/>
  <c r="T36" i="2"/>
  <c r="H154" i="1"/>
  <c r="C160" i="1" s="1"/>
  <c r="C167" i="1" s="1"/>
  <c r="G174" i="1" s="1"/>
  <c r="G186" i="1" s="1"/>
  <c r="J152" i="1"/>
  <c r="E158" i="1" s="1"/>
  <c r="E165" i="1" s="1"/>
  <c r="I172" i="1" s="1"/>
  <c r="I184" i="1" s="1"/>
  <c r="J154" i="1"/>
  <c r="E160" i="1" s="1"/>
  <c r="E167" i="1" s="1"/>
  <c r="I174" i="1" s="1"/>
  <c r="I186" i="1" s="1"/>
  <c r="I153" i="1"/>
  <c r="D159" i="1" s="1"/>
  <c r="D166" i="1" s="1"/>
  <c r="H173" i="1" s="1"/>
  <c r="H185" i="1" s="1"/>
  <c r="H152" i="1"/>
  <c r="C158" i="1" s="1"/>
  <c r="I152" i="1"/>
  <c r="D158" i="1" s="1"/>
  <c r="D165" i="1" s="1"/>
  <c r="H172" i="1" s="1"/>
  <c r="H184" i="1" s="1"/>
  <c r="I154" i="1"/>
  <c r="D160" i="1" s="1"/>
  <c r="D167" i="1" s="1"/>
  <c r="H174" i="1" s="1"/>
  <c r="H186" i="1" s="1"/>
  <c r="J153" i="1"/>
  <c r="E159" i="1" s="1"/>
  <c r="E166" i="1" s="1"/>
  <c r="I173" i="1" s="1"/>
  <c r="I185" i="1" s="1"/>
  <c r="H153" i="1"/>
  <c r="C159" i="1" s="1"/>
  <c r="C166" i="1" s="1"/>
  <c r="G173" i="1" s="1"/>
  <c r="G185" i="1" s="1"/>
  <c r="G82" i="1"/>
  <c r="G94" i="1" s="1"/>
  <c r="C68" i="1"/>
  <c r="C75" i="1" s="1"/>
  <c r="M45" i="1"/>
  <c r="K45" i="1"/>
  <c r="L45" i="1"/>
  <c r="C69" i="1"/>
  <c r="C76" i="1" s="1"/>
  <c r="G83" i="1"/>
  <c r="G95" i="1" s="1"/>
  <c r="J113" i="1" a="1"/>
  <c r="C119" i="1"/>
  <c r="C74" i="1" l="1"/>
  <c r="H74" i="1" s="1" a="1"/>
  <c r="J67" i="1" a="1"/>
  <c r="D189" i="1"/>
  <c r="D143" i="1"/>
  <c r="G126" i="1"/>
  <c r="G138" i="1" s="1"/>
  <c r="K139" i="1" s="1" a="1"/>
  <c r="H119" i="1" a="1"/>
  <c r="AD36" i="2"/>
  <c r="AD37" i="2" s="1"/>
  <c r="D98" i="1"/>
  <c r="K94" i="1" a="1"/>
  <c r="AF23" i="2" a="1"/>
  <c r="Z23" i="2" a="1"/>
  <c r="AC26" i="2"/>
  <c r="AC27" i="2" s="1"/>
  <c r="K115" i="1"/>
  <c r="E128" i="1" s="1"/>
  <c r="H135" i="1" s="1"/>
  <c r="J114" i="1"/>
  <c r="D127" i="1" s="1"/>
  <c r="G134" i="1" s="1"/>
  <c r="J115" i="1"/>
  <c r="D128" i="1" s="1"/>
  <c r="G135" i="1" s="1"/>
  <c r="L113" i="1"/>
  <c r="F126" i="1" s="1"/>
  <c r="I133" i="1" s="1"/>
  <c r="L115" i="1"/>
  <c r="F128" i="1" s="1"/>
  <c r="I135" i="1" s="1"/>
  <c r="J113" i="1"/>
  <c r="D126" i="1" s="1"/>
  <c r="G133" i="1" s="1"/>
  <c r="K134" i="1" s="1" a="1"/>
  <c r="K113" i="1"/>
  <c r="E126" i="1" s="1"/>
  <c r="H133" i="1" s="1"/>
  <c r="L114" i="1"/>
  <c r="F127" i="1" s="1"/>
  <c r="I134" i="1" s="1"/>
  <c r="K114" i="1"/>
  <c r="E127" i="1" s="1"/>
  <c r="H134" i="1" s="1"/>
  <c r="C165" i="1"/>
  <c r="J158" i="1" a="1"/>
  <c r="AE36" i="2"/>
  <c r="AE37" i="2" s="1"/>
  <c r="AF33" i="2" a="1"/>
  <c r="Z33" i="2" a="1"/>
  <c r="AC36" i="2"/>
  <c r="AC37" i="2" s="1"/>
  <c r="AD26" i="2"/>
  <c r="AD27" i="2" s="1"/>
  <c r="L139" i="1" l="1"/>
  <c r="H129" i="1" s="1"/>
  <c r="H130" i="1" s="1"/>
  <c r="M139" i="1"/>
  <c r="I129" i="1" s="1"/>
  <c r="I130" i="1" s="1"/>
  <c r="K139" i="1"/>
  <c r="G129" i="1" s="1"/>
  <c r="G130" i="1" s="1"/>
  <c r="AA35" i="2"/>
  <c r="Z34" i="2"/>
  <c r="Z35" i="2"/>
  <c r="AB33" i="2"/>
  <c r="AB34" i="2"/>
  <c r="AA33" i="2"/>
  <c r="AA36" i="2" s="1"/>
  <c r="AA37" i="2" s="1"/>
  <c r="AB35" i="2"/>
  <c r="AA34" i="2"/>
  <c r="Z33" i="2"/>
  <c r="H165" i="1" a="1"/>
  <c r="G172" i="1"/>
  <c r="G184" i="1" s="1"/>
  <c r="K185" i="1" s="1" a="1"/>
  <c r="H120" i="1"/>
  <c r="J127" i="1" s="1"/>
  <c r="H119" i="1"/>
  <c r="J126" i="1" s="1"/>
  <c r="H121" i="1"/>
  <c r="J128" i="1" s="1"/>
  <c r="AF35" i="2"/>
  <c r="AF34" i="2"/>
  <c r="AF33" i="2"/>
  <c r="M94" i="1"/>
  <c r="I84" i="1" s="1"/>
  <c r="I85" i="1" s="1"/>
  <c r="L94" i="1"/>
  <c r="H84" i="1" s="1"/>
  <c r="H85" i="1" s="1"/>
  <c r="K94" i="1"/>
  <c r="G84" i="1" s="1"/>
  <c r="G85" i="1" s="1"/>
  <c r="L134" i="1"/>
  <c r="E129" i="1" s="1"/>
  <c r="E130" i="1" s="1"/>
  <c r="M134" i="1"/>
  <c r="F129" i="1" s="1"/>
  <c r="F130" i="1" s="1"/>
  <c r="K134" i="1"/>
  <c r="D129" i="1" s="1"/>
  <c r="D130" i="1" s="1"/>
  <c r="L69" i="1"/>
  <c r="F83" i="1" s="1"/>
  <c r="I90" i="1" s="1"/>
  <c r="K68" i="1"/>
  <c r="E82" i="1" s="1"/>
  <c r="H89" i="1" s="1"/>
  <c r="J67" i="1"/>
  <c r="D81" i="1" s="1"/>
  <c r="G88" i="1" s="1"/>
  <c r="L68" i="1"/>
  <c r="F82" i="1" s="1"/>
  <c r="I89" i="1" s="1"/>
  <c r="J68" i="1"/>
  <c r="D82" i="1" s="1"/>
  <c r="G89" i="1" s="1"/>
  <c r="J69" i="1"/>
  <c r="D83" i="1" s="1"/>
  <c r="G90" i="1" s="1"/>
  <c r="K69" i="1"/>
  <c r="E83" i="1" s="1"/>
  <c r="H90" i="1" s="1"/>
  <c r="L67" i="1"/>
  <c r="F81" i="1" s="1"/>
  <c r="I88" i="1" s="1"/>
  <c r="K67" i="1"/>
  <c r="E81" i="1" s="1"/>
  <c r="H88" i="1" s="1"/>
  <c r="AF25" i="2"/>
  <c r="AG25" i="2" s="1"/>
  <c r="AF24" i="2"/>
  <c r="AF23" i="2"/>
  <c r="L160" i="1"/>
  <c r="F174" i="1" s="1"/>
  <c r="I181" i="1" s="1"/>
  <c r="K159" i="1"/>
  <c r="E173" i="1" s="1"/>
  <c r="H180" i="1" s="1"/>
  <c r="J158" i="1"/>
  <c r="D172" i="1" s="1"/>
  <c r="G179" i="1" s="1"/>
  <c r="J160" i="1"/>
  <c r="D174" i="1" s="1"/>
  <c r="G181" i="1" s="1"/>
  <c r="L158" i="1"/>
  <c r="F172" i="1" s="1"/>
  <c r="I179" i="1" s="1"/>
  <c r="L159" i="1"/>
  <c r="F173" i="1" s="1"/>
  <c r="I180" i="1" s="1"/>
  <c r="J159" i="1"/>
  <c r="D173" i="1" s="1"/>
  <c r="G180" i="1" s="1"/>
  <c r="K158" i="1"/>
  <c r="E172" i="1" s="1"/>
  <c r="H179" i="1" s="1"/>
  <c r="K160" i="1"/>
  <c r="E174" i="1" s="1"/>
  <c r="H181" i="1" s="1"/>
  <c r="AA25" i="2"/>
  <c r="Z24" i="2"/>
  <c r="Z25" i="2"/>
  <c r="AB24" i="2"/>
  <c r="AA23" i="2"/>
  <c r="AA26" i="2" s="1"/>
  <c r="AA27" i="2" s="1"/>
  <c r="AA24" i="2"/>
  <c r="AB23" i="2"/>
  <c r="AB25" i="2"/>
  <c r="Z23" i="2"/>
  <c r="Z26" i="2" s="1"/>
  <c r="Z27" i="2" s="1"/>
  <c r="H76" i="1"/>
  <c r="J83" i="1" s="1"/>
  <c r="H74" i="1"/>
  <c r="J81" i="1" s="1"/>
  <c r="H75" i="1"/>
  <c r="J82" i="1" s="1"/>
  <c r="G98" i="1" l="1"/>
  <c r="K82" i="1"/>
  <c r="L185" i="1"/>
  <c r="H175" i="1" s="1"/>
  <c r="H176" i="1" s="1"/>
  <c r="M185" i="1"/>
  <c r="I175" i="1" s="1"/>
  <c r="I176" i="1" s="1"/>
  <c r="K185" i="1"/>
  <c r="G175" i="1" s="1"/>
  <c r="G176" i="1" s="1"/>
  <c r="G97" i="1"/>
  <c r="K81" i="1"/>
  <c r="K128" i="1"/>
  <c r="G144" i="1"/>
  <c r="H167" i="1"/>
  <c r="J174" i="1" s="1"/>
  <c r="G190" i="1" s="1"/>
  <c r="H165" i="1"/>
  <c r="J172" i="1" s="1"/>
  <c r="G188" i="1" s="1"/>
  <c r="H166" i="1"/>
  <c r="J173" i="1" s="1"/>
  <c r="G189" i="1" s="1"/>
  <c r="K83" i="1"/>
  <c r="G99" i="1"/>
  <c r="AB26" i="2"/>
  <c r="AB27" i="2" s="1"/>
  <c r="AF26" i="2"/>
  <c r="AG23" i="2"/>
  <c r="AF36" i="2"/>
  <c r="G142" i="1"/>
  <c r="I143" i="1" s="1"/>
  <c r="J129" i="1" s="1"/>
  <c r="K126" i="1"/>
  <c r="Z36" i="2"/>
  <c r="Z37" i="2" s="1"/>
  <c r="K180" i="1" a="1"/>
  <c r="AG24" i="2"/>
  <c r="K89" i="1" a="1"/>
  <c r="K127" i="1"/>
  <c r="G143" i="1"/>
  <c r="AB36" i="2"/>
  <c r="AB37" i="2" s="1"/>
  <c r="I189" i="1" l="1"/>
  <c r="J175" i="1" s="1"/>
  <c r="I98" i="1"/>
  <c r="J84" i="1" s="1"/>
  <c r="M89" i="1"/>
  <c r="F84" i="1" s="1"/>
  <c r="F85" i="1" s="1"/>
  <c r="L89" i="1"/>
  <c r="E84" i="1" s="1"/>
  <c r="E85" i="1" s="1"/>
  <c r="K89" i="1"/>
  <c r="D84" i="1" s="1"/>
  <c r="D85" i="1" s="1"/>
  <c r="L180" i="1"/>
  <c r="E175" i="1" s="1"/>
  <c r="E176" i="1" s="1"/>
  <c r="M180" i="1"/>
  <c r="F175" i="1" s="1"/>
  <c r="F176" i="1" s="1"/>
  <c r="K180" i="1"/>
  <c r="D175" i="1" s="1"/>
  <c r="D17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28" authorId="0" shapeId="0" xr:uid="{7887A074-A338-469E-BB52-95E15D3D5E10}">
      <text>
        <r>
          <rPr>
            <b/>
            <sz val="9"/>
            <color indexed="81"/>
            <rFont val="Tahoma"/>
            <family val="2"/>
            <charset val="238"/>
          </rPr>
          <t>user:</t>
        </r>
        <r>
          <rPr>
            <sz val="9"/>
            <color indexed="81"/>
            <rFont val="Tahoma"/>
            <family val="2"/>
            <charset val="238"/>
          </rPr>
          <t xml:space="preserve">
wartość FC</t>
        </r>
      </text>
    </comment>
    <comment ref="J84" authorId="0" shapeId="0" xr:uid="{BABCFFFF-EADD-4EC1-9A67-82D3F1A6C90C}">
      <text>
        <r>
          <rPr>
            <b/>
            <sz val="9"/>
            <color indexed="81"/>
            <rFont val="Tahoma"/>
            <family val="2"/>
            <charset val="238"/>
          </rPr>
          <t>user:</t>
        </r>
        <r>
          <rPr>
            <sz val="9"/>
            <color indexed="81"/>
            <rFont val="Tahoma"/>
            <family val="2"/>
            <charset val="238"/>
          </rPr>
          <t xml:space="preserve">
wartość FC</t>
        </r>
      </text>
    </comment>
    <comment ref="J129" authorId="0" shapeId="0" xr:uid="{B421225F-47FD-4FB1-8240-FEDE5186A157}">
      <text>
        <r>
          <rPr>
            <b/>
            <sz val="9"/>
            <color indexed="81"/>
            <rFont val="Tahoma"/>
            <family val="2"/>
            <charset val="238"/>
          </rPr>
          <t>user:</t>
        </r>
        <r>
          <rPr>
            <sz val="9"/>
            <color indexed="81"/>
            <rFont val="Tahoma"/>
            <family val="2"/>
            <charset val="238"/>
          </rPr>
          <t xml:space="preserve">
wartość FC</t>
        </r>
      </text>
    </comment>
    <comment ref="J175" authorId="0" shapeId="0" xr:uid="{F1D56741-F2A5-4C6A-8F2B-EB6140469043}">
      <text>
        <r>
          <rPr>
            <b/>
            <sz val="9"/>
            <color indexed="81"/>
            <rFont val="Tahoma"/>
            <family val="2"/>
            <charset val="238"/>
          </rPr>
          <t>user:</t>
        </r>
        <r>
          <rPr>
            <sz val="9"/>
            <color indexed="81"/>
            <rFont val="Tahoma"/>
            <family val="2"/>
            <charset val="238"/>
          </rPr>
          <t xml:space="preserve">
wartość FC</t>
        </r>
      </text>
    </comment>
  </commentList>
</comments>
</file>

<file path=xl/sharedStrings.xml><?xml version="1.0" encoding="utf-8"?>
<sst xmlns="http://schemas.openxmlformats.org/spreadsheetml/2006/main" count="336" uniqueCount="138">
  <si>
    <t>Zmienne decyzyjne:</t>
  </si>
  <si>
    <t>X1</t>
  </si>
  <si>
    <t>ilość produkcji modelu SS</t>
  </si>
  <si>
    <t>X2</t>
  </si>
  <si>
    <t>ilość produkcji modelu S</t>
  </si>
  <si>
    <t>X3</t>
  </si>
  <si>
    <t>ilość produkcji modelu O</t>
  </si>
  <si>
    <t>Postać standardowa modelu:</t>
  </si>
  <si>
    <t>FC:</t>
  </si>
  <si>
    <t>32X1+24X2+48X3~~MAX</t>
  </si>
  <si>
    <t>WO1:</t>
  </si>
  <si>
    <t>2X1+2X2+5X3&lt;=40</t>
  </si>
  <si>
    <t>WO2:</t>
  </si>
  <si>
    <t>1X1+3X2+2X3&lt;=30</t>
  </si>
  <si>
    <t>3X1+1X2+3X3&lt;=30</t>
  </si>
  <si>
    <t>WB:</t>
  </si>
  <si>
    <t>X1,X2,X3&gt;=0</t>
  </si>
  <si>
    <t>Zmienne swobodne:</t>
  </si>
  <si>
    <t>X4</t>
  </si>
  <si>
    <t>niewykorzystany zasób M1</t>
  </si>
  <si>
    <t>X5</t>
  </si>
  <si>
    <t>niewykorzystany zasób M2</t>
  </si>
  <si>
    <t>X6</t>
  </si>
  <si>
    <t>niewykorzystany zasób M3</t>
  </si>
  <si>
    <t>Postać kanoniczna:</t>
  </si>
  <si>
    <r>
      <t>32X1+24X2+48X3</t>
    </r>
    <r>
      <rPr>
        <sz val="11"/>
        <color rgb="FFFF0000"/>
        <rFont val="Calibri"/>
        <family val="2"/>
        <charset val="238"/>
        <scheme val="minor"/>
      </rPr>
      <t>+0X4+0X5+0X6</t>
    </r>
    <r>
      <rPr>
        <sz val="11"/>
        <color theme="1"/>
        <rFont val="Calibri"/>
        <family val="2"/>
        <charset val="238"/>
        <scheme val="minor"/>
      </rPr>
      <t>~~MAX</t>
    </r>
  </si>
  <si>
    <r>
      <t>2X1+2X2+5X3+</t>
    </r>
    <r>
      <rPr>
        <sz val="11"/>
        <color rgb="FFFF0000"/>
        <rFont val="Calibri"/>
        <family val="2"/>
        <charset val="238"/>
        <scheme val="minor"/>
      </rPr>
      <t>1X4</t>
    </r>
    <r>
      <rPr>
        <sz val="11"/>
        <color theme="1"/>
        <rFont val="Calibri"/>
        <family val="2"/>
        <charset val="238"/>
        <scheme val="minor"/>
      </rPr>
      <t>=40</t>
    </r>
  </si>
  <si>
    <r>
      <t>1X1+3X2+2X3+</t>
    </r>
    <r>
      <rPr>
        <sz val="11"/>
        <color rgb="FFFF0000"/>
        <rFont val="Calibri"/>
        <family val="2"/>
        <charset val="238"/>
        <scheme val="minor"/>
      </rPr>
      <t>1X5</t>
    </r>
    <r>
      <rPr>
        <sz val="11"/>
        <color theme="1"/>
        <rFont val="Calibri"/>
        <family val="2"/>
        <charset val="238"/>
        <scheme val="minor"/>
      </rPr>
      <t>=30</t>
    </r>
  </si>
  <si>
    <r>
      <t>3X1+1X2+3X3+</t>
    </r>
    <r>
      <rPr>
        <sz val="11"/>
        <color rgb="FFFF0000"/>
        <rFont val="Calibri"/>
        <family val="2"/>
        <charset val="238"/>
        <scheme val="minor"/>
      </rPr>
      <t>1X6</t>
    </r>
    <r>
      <rPr>
        <sz val="11"/>
        <color theme="1"/>
        <rFont val="Calibri"/>
        <family val="2"/>
        <charset val="238"/>
        <scheme val="minor"/>
      </rPr>
      <t>=30</t>
    </r>
  </si>
  <si>
    <r>
      <t>X1,X2,X3,</t>
    </r>
    <r>
      <rPr>
        <sz val="11"/>
        <color rgb="FFFF0000"/>
        <rFont val="Calibri"/>
        <family val="2"/>
        <charset val="238"/>
        <scheme val="minor"/>
      </rPr>
      <t>X4,X5,X6</t>
    </r>
    <r>
      <rPr>
        <sz val="11"/>
        <color theme="1"/>
        <rFont val="Calibri"/>
        <family val="2"/>
        <charset val="238"/>
        <scheme val="minor"/>
      </rPr>
      <t>&gt;=0</t>
    </r>
  </si>
  <si>
    <t>1 tablica</t>
  </si>
  <si>
    <t>Cj:</t>
  </si>
  <si>
    <t>Cb:</t>
  </si>
  <si>
    <t>Xb:/Xj:</t>
  </si>
  <si>
    <t>bi:</t>
  </si>
  <si>
    <t>bi/aik:</t>
  </si>
  <si>
    <t>kr wyjścia min</t>
  </si>
  <si>
    <t>Zj:</t>
  </si>
  <si>
    <t>Cj-Zj:</t>
  </si>
  <si>
    <t>kr wejścia max</t>
  </si>
  <si>
    <t>Macierz parametrów WO przy zmiennych pierwotnych</t>
  </si>
  <si>
    <t>Macierz wyrazów wlonych modelu</t>
  </si>
  <si>
    <t>A=</t>
  </si>
  <si>
    <t>b=</t>
  </si>
  <si>
    <t>Macierz parametrów FC przy zmiennych tworzących rozwiązanie w transpozycji</t>
  </si>
  <si>
    <t>Macierz parametrów WO przy zmiennych trworzących rozwiązanie bazowe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</si>
  <si>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=</t>
    </r>
  </si>
  <si>
    <r>
      <t>B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</si>
  <si>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t>Wiersz Zj to iloczyn macierzy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</si>
  <si>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*A=</t>
    </r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</si>
  <si>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</si>
  <si>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t>Wartość FC to iloczyn macierzy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</si>
  <si>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*b=</t>
    </r>
  </si>
  <si>
    <t>Macierze 2 tablicy simpleks</t>
  </si>
  <si>
    <t>Macierz parametrów WO przy zmiennych trworzących 2 rozwiązanie bazowe</t>
  </si>
  <si>
    <t>przy X3</t>
  </si>
  <si>
    <t>przy X5</t>
  </si>
  <si>
    <t>przy X6</t>
  </si>
  <si>
    <t>B2=</t>
  </si>
  <si>
    <r>
      <t>B2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</si>
  <si>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t>Macierz parametrów WO przy zmiennych pierwotnych w T2</t>
  </si>
  <si>
    <r>
      <t>B2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*A=A2=</t>
    </r>
  </si>
  <si>
    <t xml:space="preserve"> = A2=</t>
  </si>
  <si>
    <t>Macierz wyrazów wolnych w T2</t>
  </si>
  <si>
    <r>
      <t>B2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*b=b2=</t>
    </r>
  </si>
  <si>
    <t xml:space="preserve"> = b2=</t>
  </si>
  <si>
    <t>2 tablica</t>
  </si>
  <si>
    <t>min wyjście</t>
  </si>
  <si>
    <t>max wejście</t>
  </si>
  <si>
    <t>Obliczenie Zj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</si>
  <si>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*A2=</t>
    </r>
  </si>
  <si>
    <t xml:space="preserve"> = 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</si>
  <si>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*B2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</si>
  <si>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t xml:space="preserve"> =</t>
  </si>
  <si>
    <t>Obliczenie FC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</si>
  <si>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*b2=</t>
    </r>
  </si>
  <si>
    <t>Macierze w 3 T simpleks</t>
  </si>
  <si>
    <t>Macierz parametrów WO przy zmiennych trworzących 3 rozwiązanie bazowe</t>
  </si>
  <si>
    <t>przy X1</t>
  </si>
  <si>
    <t>B3=</t>
  </si>
  <si>
    <r>
      <t>B3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</si>
  <si>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t>Macierz parametrów WO przy zmiennych pierwotnych w T3</t>
  </si>
  <si>
    <r>
      <t>B3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*A=A3=</t>
    </r>
  </si>
  <si>
    <t xml:space="preserve"> =A3=</t>
  </si>
  <si>
    <t>Macierz wyrazów wolnych w T3</t>
  </si>
  <si>
    <r>
      <t>B3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*b=b3=</t>
    </r>
  </si>
  <si>
    <t xml:space="preserve"> = b3=</t>
  </si>
  <si>
    <t>3 tablica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</si>
  <si>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*A3=</t>
    </r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</si>
  <si>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*B3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</si>
  <si>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*b3=</t>
    </r>
  </si>
  <si>
    <t>Macierze w 4 T simpleks</t>
  </si>
  <si>
    <t>Macierz parametrów WO przy zmiennych trworzących 4 rozwiązanie bazowe</t>
  </si>
  <si>
    <t>przy X2</t>
  </si>
  <si>
    <t>B4=</t>
  </si>
  <si>
    <r>
      <t>B4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</si>
  <si>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t>Macierz parametrów WO przy zmiennych pierwotnych w T4</t>
  </si>
  <si>
    <r>
      <t>B4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*A=A4=</t>
    </r>
  </si>
  <si>
    <t xml:space="preserve"> = A4=</t>
  </si>
  <si>
    <t>Macierz wyrazów wolnych w T4</t>
  </si>
  <si>
    <r>
      <t>B4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*b=b4=</t>
    </r>
  </si>
  <si>
    <t xml:space="preserve"> = b4=</t>
  </si>
  <si>
    <t>4 tablica</t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</si>
  <si>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*A4=</t>
    </r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</si>
  <si>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*B4</t>
    </r>
    <r>
      <rPr>
        <vertAlign val="superscript"/>
        <sz val="11"/>
        <color theme="1"/>
        <rFont val="Calibri"/>
        <family val="2"/>
        <charset val="238"/>
        <scheme val="minor"/>
      </rPr>
      <t>-1</t>
    </r>
    <r>
      <rPr>
        <sz val="11"/>
        <color theme="1"/>
        <rFont val="Calibri"/>
        <family val="2"/>
        <charset val="238"/>
        <scheme val="minor"/>
      </rPr>
      <t>=</t>
    </r>
  </si>
  <si>
    <r>
      <t>Cb</t>
    </r>
    <r>
      <rPr>
        <vertAlign val="superscript"/>
        <sz val="11"/>
        <color theme="1"/>
        <rFont val="Calibri"/>
        <family val="2"/>
        <charset val="238"/>
        <scheme val="minor"/>
      </rPr>
      <t>T</t>
    </r>
    <r>
      <rPr>
        <sz val="11"/>
        <color theme="1"/>
        <rFont val="Calibri"/>
        <family val="2"/>
        <charset val="238"/>
        <scheme val="minor"/>
      </rPr>
      <t>*b4=</t>
    </r>
  </si>
  <si>
    <t>60X1+30X2+20X3~~MAX</t>
  </si>
  <si>
    <r>
      <t>60X1+30X2+20X3+</t>
    </r>
    <r>
      <rPr>
        <sz val="11"/>
        <color rgb="FFFF0000"/>
        <rFont val="Calibri"/>
        <family val="2"/>
        <charset val="238"/>
        <scheme val="minor"/>
      </rPr>
      <t>0X4+0X5+0X6</t>
    </r>
    <r>
      <rPr>
        <sz val="11"/>
        <color theme="1"/>
        <rFont val="Calibri"/>
        <family val="2"/>
        <charset val="238"/>
        <scheme val="minor"/>
      </rPr>
      <t>~~MAX</t>
    </r>
  </si>
  <si>
    <t>Cj</t>
  </si>
  <si>
    <t>CB</t>
  </si>
  <si>
    <t>XB/XJ</t>
  </si>
  <si>
    <t>bi</t>
  </si>
  <si>
    <t>bi/aik</t>
  </si>
  <si>
    <t>8X1+6X2+1X3&lt;=960</t>
  </si>
  <si>
    <r>
      <t>8X1+6X2+1X3+</t>
    </r>
    <r>
      <rPr>
        <sz val="11"/>
        <color rgb="FFFF0000"/>
        <rFont val="Calibri"/>
        <family val="2"/>
        <charset val="238"/>
        <scheme val="minor"/>
      </rPr>
      <t>1X4</t>
    </r>
    <r>
      <rPr>
        <sz val="11"/>
        <color theme="1"/>
        <rFont val="Calibri"/>
        <family val="2"/>
        <charset val="238"/>
        <scheme val="minor"/>
      </rPr>
      <t>=960</t>
    </r>
  </si>
  <si>
    <t>8X1+4X2+3X3&lt;=800</t>
  </si>
  <si>
    <r>
      <t>8X1+4X2+3X3+</t>
    </r>
    <r>
      <rPr>
        <sz val="11"/>
        <color rgb="FFFF0000"/>
        <rFont val="Calibri"/>
        <family val="2"/>
        <charset val="238"/>
        <scheme val="minor"/>
      </rPr>
      <t>1X5</t>
    </r>
    <r>
      <rPr>
        <sz val="11"/>
        <color theme="1"/>
        <rFont val="Calibri"/>
        <family val="2"/>
        <charset val="238"/>
        <scheme val="minor"/>
      </rPr>
      <t>=800</t>
    </r>
  </si>
  <si>
    <t>WO3:</t>
  </si>
  <si>
    <t>4X1+3X2+1X3&lt;=320</t>
  </si>
  <si>
    <r>
      <t>4X1+3X2+1X3+</t>
    </r>
    <r>
      <rPr>
        <sz val="11"/>
        <color rgb="FFFF0000"/>
        <rFont val="Calibri"/>
        <family val="2"/>
        <charset val="238"/>
        <scheme val="minor"/>
      </rPr>
      <t>1X6</t>
    </r>
    <r>
      <rPr>
        <sz val="11"/>
        <color theme="1"/>
        <rFont val="Calibri"/>
        <family val="2"/>
        <charset val="238"/>
        <scheme val="minor"/>
      </rPr>
      <t>=320</t>
    </r>
  </si>
  <si>
    <t>Xr=X6</t>
  </si>
  <si>
    <t>Zj</t>
  </si>
  <si>
    <t>Cj-Zj</t>
  </si>
  <si>
    <t>Xk=X1</t>
  </si>
  <si>
    <t>min/kr wyjścia</t>
  </si>
  <si>
    <t>Xr=X5</t>
  </si>
  <si>
    <t>zmiana</t>
  </si>
  <si>
    <t>max /kr wejścia</t>
  </si>
  <si>
    <t>Xk=X3</t>
  </si>
  <si>
    <t>Rozwiązanie optymalne tworzą:</t>
  </si>
  <si>
    <t>X1=</t>
  </si>
  <si>
    <t>X2=</t>
  </si>
  <si>
    <t>X3=</t>
  </si>
  <si>
    <t>X4=</t>
  </si>
  <si>
    <t>zmienna swobodna - niewykorzystany limit1</t>
  </si>
  <si>
    <t>X5=</t>
  </si>
  <si>
    <t>X6=</t>
  </si>
  <si>
    <t>60X1+30X2+20X3+0X4+0X5+0X6~~MAX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</si>
</sst>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b/>
      <u/>
      <sz val="11"/>
      <color theme="1"/>
      <name val="Calibri"/>
      <family val="2"/>
      <charset val="238"/>
      <scheme val="minor"/>
    </font>
    <font>
      <b/>
      <u/>
      <sz val="11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vertAlign val="superscript"/>
      <sz val="11"/>
      <color theme="1"/>
      <name val="Calibri"/>
      <family val="2"/>
      <charset val="238"/>
      <scheme val="minor"/>
    </font>
    <font>
      <b/>
      <sz val="11"/>
      <color rgb="FFFF0000"/>
      <name val="Calibri"/>
      <family val="2"/>
      <charset val="238"/>
      <scheme val="minor"/>
    </font>
    <font>
      <b/>
      <sz val="9"/>
      <color indexed="81"/>
      <name val="Tahoma"/>
      <family val="2"/>
      <charset val="238"/>
    </font>
    <font>
      <sz val="9"/>
      <color indexed="81"/>
      <name val="Tahoma"/>
      <family val="2"/>
      <charset val="238"/>
    </font>
  </fonts>
  <fills count="9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3BFC14"/>
        <bgColor indexed="64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60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0" borderId="0" xfId="0" applyFill="1"/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0" fontId="0" fillId="0" borderId="2" xfId="0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0" fillId="3" borderId="0" xfId="0" applyFill="1" applyAlignment="1">
      <alignment horizontal="center"/>
    </xf>
    <xf numFmtId="0" fontId="0" fillId="5" borderId="0" xfId="0" applyFill="1" applyAlignment="1">
      <alignment horizontal="center"/>
    </xf>
    <xf numFmtId="0" fontId="1" fillId="2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6" fillId="0" borderId="0" xfId="0" applyFont="1" applyAlignment="1">
      <alignment horizontal="center"/>
    </xf>
    <xf numFmtId="0" fontId="0" fillId="7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3" borderId="0" xfId="0" applyNumberFormat="1" applyFill="1" applyAlignment="1">
      <alignment horizontal="center"/>
    </xf>
    <xf numFmtId="0" fontId="4" fillId="2" borderId="1" xfId="0" applyFont="1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0" fontId="6" fillId="0" borderId="1" xfId="0" applyFont="1" applyFill="1" applyBorder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2" fontId="1" fillId="4" borderId="0" xfId="0" applyNumberFormat="1" applyFont="1" applyFill="1" applyAlignment="1">
      <alignment horizontal="center"/>
    </xf>
    <xf numFmtId="0" fontId="0" fillId="2" borderId="0" xfId="0" applyFill="1"/>
    <xf numFmtId="0" fontId="4" fillId="0" borderId="0" xfId="0" applyFont="1"/>
    <xf numFmtId="0" fontId="1" fillId="7" borderId="0" xfId="0" applyFont="1" applyFill="1" applyAlignment="1">
      <alignment horizontal="center"/>
    </xf>
    <xf numFmtId="1" fontId="0" fillId="5" borderId="0" xfId="0" applyNumberFormat="1" applyFill="1" applyAlignment="1">
      <alignment horizontal="center"/>
    </xf>
    <xf numFmtId="2" fontId="0" fillId="5" borderId="0" xfId="0" applyNumberFormat="1" applyFill="1" applyAlignment="1">
      <alignment horizontal="center"/>
    </xf>
    <xf numFmtId="2" fontId="0" fillId="5" borderId="1" xfId="0" applyNumberFormat="1" applyFill="1" applyBorder="1" applyAlignment="1">
      <alignment horizontal="center"/>
    </xf>
    <xf numFmtId="2" fontId="4" fillId="6" borderId="1" xfId="0" applyNumberFormat="1" applyFont="1" applyFill="1" applyBorder="1" applyAlignment="1">
      <alignment horizontal="center"/>
    </xf>
    <xf numFmtId="2" fontId="6" fillId="0" borderId="1" xfId="0" applyNumberFormat="1" applyFont="1" applyFill="1" applyBorder="1" applyAlignment="1">
      <alignment horizontal="center"/>
    </xf>
    <xf numFmtId="2" fontId="4" fillId="0" borderId="1" xfId="0" applyNumberFormat="1" applyFont="1" applyFill="1" applyBorder="1" applyAlignment="1">
      <alignment horizontal="center"/>
    </xf>
    <xf numFmtId="2" fontId="0" fillId="6" borderId="0" xfId="0" applyNumberFormat="1" applyFill="1" applyAlignment="1">
      <alignment horizontal="center"/>
    </xf>
    <xf numFmtId="164" fontId="0" fillId="5" borderId="0" xfId="0" applyNumberFormat="1" applyFill="1" applyAlignment="1">
      <alignment horizontal="center"/>
    </xf>
    <xf numFmtId="2" fontId="6" fillId="0" borderId="0" xfId="0" applyNumberFormat="1" applyFont="1" applyAlignment="1">
      <alignment horizontal="center"/>
    </xf>
    <xf numFmtId="0" fontId="4" fillId="7" borderId="0" xfId="0" applyFont="1" applyFill="1" applyAlignment="1">
      <alignment horizontal="center"/>
    </xf>
    <xf numFmtId="0" fontId="0" fillId="0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6" fillId="6" borderId="1" xfId="0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4" fillId="0" borderId="1" xfId="0" applyFont="1" applyFill="1" applyBorder="1" applyAlignment="1">
      <alignment horizontal="left"/>
    </xf>
    <xf numFmtId="0" fontId="1" fillId="5" borderId="1" xfId="0" applyFont="1" applyFill="1" applyBorder="1" applyAlignment="1">
      <alignment horizontal="center"/>
    </xf>
    <xf numFmtId="0" fontId="0" fillId="0" borderId="1" xfId="0" applyFill="1" applyBorder="1" applyAlignment="1">
      <alignment horizontal="left"/>
    </xf>
    <xf numFmtId="0" fontId="4" fillId="5" borderId="1" xfId="0" applyFont="1" applyFill="1" applyBorder="1" applyAlignment="1">
      <alignment horizontal="center"/>
    </xf>
    <xf numFmtId="0" fontId="0" fillId="5" borderId="0" xfId="0" applyFill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558800</xdr:colOff>
      <xdr:row>23</xdr:row>
      <xdr:rowOff>101600</xdr:rowOff>
    </xdr:from>
    <xdr:to>
      <xdr:col>5</xdr:col>
      <xdr:colOff>152400</xdr:colOff>
      <xdr:row>24</xdr:row>
      <xdr:rowOff>127000</xdr:rowOff>
    </xdr:to>
    <xdr:cxnSp macro="">
      <xdr:nvCxnSpPr>
        <xdr:cNvPr id="2" name="Łącznik prosty ze strzałką 1">
          <a:extLst>
            <a:ext uri="{FF2B5EF4-FFF2-40B4-BE49-F238E27FC236}">
              <a16:creationId xmlns:a16="http://schemas.microsoft.com/office/drawing/2014/main" id="{12B67005-536B-41B6-9145-6640E6C9011C}"/>
            </a:ext>
          </a:extLst>
        </xdr:cNvPr>
        <xdr:cNvCxnSpPr/>
      </xdr:nvCxnSpPr>
      <xdr:spPr>
        <a:xfrm flipH="1">
          <a:off x="2029460" y="4307840"/>
          <a:ext cx="1422400" cy="20828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429986</xdr:colOff>
      <xdr:row>79</xdr:row>
      <xdr:rowOff>65314</xdr:rowOff>
    </xdr:from>
    <xdr:to>
      <xdr:col>3</xdr:col>
      <xdr:colOff>119743</xdr:colOff>
      <xdr:row>82</xdr:row>
      <xdr:rowOff>103414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FDA04E25-3DAF-46FC-AC1D-F3D5D340E96F}"/>
            </a:ext>
          </a:extLst>
        </xdr:cNvPr>
        <xdr:cNvCxnSpPr/>
      </xdr:nvCxnSpPr>
      <xdr:spPr>
        <a:xfrm flipH="1">
          <a:off x="1900646" y="14695714"/>
          <a:ext cx="299357" cy="58674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406400</xdr:colOff>
      <xdr:row>124</xdr:row>
      <xdr:rowOff>114300</xdr:rowOff>
    </xdr:from>
    <xdr:to>
      <xdr:col>4</xdr:col>
      <xdr:colOff>171450</xdr:colOff>
      <xdr:row>126</xdr:row>
      <xdr:rowOff>82550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B98C372E-77EF-441B-8FDF-115180DC74D0}"/>
            </a:ext>
          </a:extLst>
        </xdr:cNvPr>
        <xdr:cNvCxnSpPr/>
      </xdr:nvCxnSpPr>
      <xdr:spPr>
        <a:xfrm flipH="1">
          <a:off x="1877060" y="23111460"/>
          <a:ext cx="984250" cy="33401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600075</xdr:colOff>
      <xdr:row>0</xdr:row>
      <xdr:rowOff>157163</xdr:rowOff>
    </xdr:from>
    <xdr:to>
      <xdr:col>9</xdr:col>
      <xdr:colOff>476885</xdr:colOff>
      <xdr:row>7</xdr:row>
      <xdr:rowOff>31433</xdr:rowOff>
    </xdr:to>
    <xdr:pic>
      <xdr:nvPicPr>
        <xdr:cNvPr id="2" name="Obraz 1">
          <a:extLst>
            <a:ext uri="{FF2B5EF4-FFF2-40B4-BE49-F238E27FC236}">
              <a16:creationId xmlns:a16="http://schemas.microsoft.com/office/drawing/2014/main" id="{E29E30F9-8970-458B-8D9F-70C53CC0F15A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" y="157163"/>
          <a:ext cx="5363210" cy="1154430"/>
        </a:xfrm>
        <a:prstGeom prst="rect">
          <a:avLst/>
        </a:prstGeom>
      </xdr:spPr>
    </xdr:pic>
    <xdr:clientData/>
  </xdr:twoCellAnchor>
  <xdr:twoCellAnchor>
    <xdr:from>
      <xdr:col>12</xdr:col>
      <xdr:colOff>418254</xdr:colOff>
      <xdr:row>21</xdr:row>
      <xdr:rowOff>82126</xdr:rowOff>
    </xdr:from>
    <xdr:to>
      <xdr:col>15</xdr:col>
      <xdr:colOff>209974</xdr:colOff>
      <xdr:row>23</xdr:row>
      <xdr:rowOff>107526</xdr:rowOff>
    </xdr:to>
    <xdr:cxnSp macro="">
      <xdr:nvCxnSpPr>
        <xdr:cNvPr id="3" name="Łącznik prosty ze strzałką 2">
          <a:extLst>
            <a:ext uri="{FF2B5EF4-FFF2-40B4-BE49-F238E27FC236}">
              <a16:creationId xmlns:a16="http://schemas.microsoft.com/office/drawing/2014/main" id="{18A6B9A8-E8ED-4964-B5AC-C42875A008BD}"/>
            </a:ext>
          </a:extLst>
        </xdr:cNvPr>
        <xdr:cNvCxnSpPr/>
      </xdr:nvCxnSpPr>
      <xdr:spPr>
        <a:xfrm flipH="1">
          <a:off x="7603914" y="3922606"/>
          <a:ext cx="1620520" cy="39116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445476</xdr:colOff>
      <xdr:row>10</xdr:row>
      <xdr:rowOff>70338</xdr:rowOff>
    </xdr:from>
    <xdr:to>
      <xdr:col>25</xdr:col>
      <xdr:colOff>181707</xdr:colOff>
      <xdr:row>13</xdr:row>
      <xdr:rowOff>82062</xdr:rowOff>
    </xdr:to>
    <xdr:cxnSp macro="">
      <xdr:nvCxnSpPr>
        <xdr:cNvPr id="4" name="Łącznik prosty ze strzałką 3">
          <a:extLst>
            <a:ext uri="{FF2B5EF4-FFF2-40B4-BE49-F238E27FC236}">
              <a16:creationId xmlns:a16="http://schemas.microsoft.com/office/drawing/2014/main" id="{D1D439A7-58AD-4FA4-AFC3-03CE100A9346}"/>
            </a:ext>
          </a:extLst>
        </xdr:cNvPr>
        <xdr:cNvCxnSpPr/>
      </xdr:nvCxnSpPr>
      <xdr:spPr>
        <a:xfrm flipH="1">
          <a:off x="15235896" y="1899138"/>
          <a:ext cx="345831" cy="56036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24</xdr:col>
      <xdr:colOff>448733</xdr:colOff>
      <xdr:row>21</xdr:row>
      <xdr:rowOff>93133</xdr:rowOff>
    </xdr:from>
    <xdr:to>
      <xdr:col>27</xdr:col>
      <xdr:colOff>177800</xdr:colOff>
      <xdr:row>23</xdr:row>
      <xdr:rowOff>93134</xdr:rowOff>
    </xdr:to>
    <xdr:cxnSp macro="">
      <xdr:nvCxnSpPr>
        <xdr:cNvPr id="5" name="Łącznik prosty ze strzałką 4">
          <a:extLst>
            <a:ext uri="{FF2B5EF4-FFF2-40B4-BE49-F238E27FC236}">
              <a16:creationId xmlns:a16="http://schemas.microsoft.com/office/drawing/2014/main" id="{D86AE18E-D1A1-4F10-9D86-95ED91666F1B}"/>
            </a:ext>
          </a:extLst>
        </xdr:cNvPr>
        <xdr:cNvCxnSpPr/>
      </xdr:nvCxnSpPr>
      <xdr:spPr>
        <a:xfrm flipH="1">
          <a:off x="15239153" y="3933613"/>
          <a:ext cx="1557867" cy="365761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D171D-A61E-4388-BB7D-49F789F0576D}">
  <dimension ref="B2:M190"/>
  <sheetViews>
    <sheetView topLeftCell="A181" zoomScale="120" zoomScaleNormal="120" workbookViewId="0">
      <selection activeCell="O179" sqref="O179:O180"/>
    </sheetView>
  </sheetViews>
  <sheetFormatPr defaultRowHeight="14.4" x14ac:dyDescent="0.3"/>
  <cols>
    <col min="2" max="2" width="12.5546875" customWidth="1"/>
    <col min="10" max="10" width="13" bestFit="1" customWidth="1"/>
    <col min="11" max="11" width="9" bestFit="1" customWidth="1"/>
    <col min="12" max="12" width="12.88671875" bestFit="1" customWidth="1"/>
  </cols>
  <sheetData>
    <row r="2" spans="2:3" x14ac:dyDescent="0.3">
      <c r="B2" t="s">
        <v>0</v>
      </c>
    </row>
    <row r="3" spans="2:3" x14ac:dyDescent="0.3">
      <c r="B3" t="s">
        <v>1</v>
      </c>
      <c r="C3" t="s">
        <v>2</v>
      </c>
    </row>
    <row r="4" spans="2:3" x14ac:dyDescent="0.3">
      <c r="B4" t="s">
        <v>3</v>
      </c>
      <c r="C4" t="s">
        <v>4</v>
      </c>
    </row>
    <row r="5" spans="2:3" x14ac:dyDescent="0.3">
      <c r="B5" t="s">
        <v>5</v>
      </c>
      <c r="C5" t="s">
        <v>6</v>
      </c>
    </row>
    <row r="6" spans="2:3" x14ac:dyDescent="0.3">
      <c r="B6" s="1" t="s">
        <v>7</v>
      </c>
    </row>
    <row r="7" spans="2:3" x14ac:dyDescent="0.3">
      <c r="B7" t="s">
        <v>8</v>
      </c>
      <c r="C7" t="s">
        <v>9</v>
      </c>
    </row>
    <row r="8" spans="2:3" x14ac:dyDescent="0.3">
      <c r="B8" t="s">
        <v>10</v>
      </c>
      <c r="C8" t="s">
        <v>11</v>
      </c>
    </row>
    <row r="9" spans="2:3" x14ac:dyDescent="0.3">
      <c r="B9" t="s">
        <v>12</v>
      </c>
      <c r="C9" t="s">
        <v>13</v>
      </c>
    </row>
    <row r="10" spans="2:3" x14ac:dyDescent="0.3">
      <c r="B10" t="s">
        <v>12</v>
      </c>
      <c r="C10" t="s">
        <v>14</v>
      </c>
    </row>
    <row r="11" spans="2:3" x14ac:dyDescent="0.3">
      <c r="B11" t="s">
        <v>15</v>
      </c>
      <c r="C11" t="s">
        <v>16</v>
      </c>
    </row>
    <row r="12" spans="2:3" x14ac:dyDescent="0.3">
      <c r="B12" t="s">
        <v>17</v>
      </c>
    </row>
    <row r="13" spans="2:3" x14ac:dyDescent="0.3">
      <c r="B13" s="2" t="s">
        <v>18</v>
      </c>
      <c r="C13" t="s">
        <v>19</v>
      </c>
    </row>
    <row r="14" spans="2:3" x14ac:dyDescent="0.3">
      <c r="B14" s="2" t="s">
        <v>20</v>
      </c>
      <c r="C14" t="s">
        <v>21</v>
      </c>
    </row>
    <row r="15" spans="2:3" x14ac:dyDescent="0.3">
      <c r="B15" s="2" t="s">
        <v>22</v>
      </c>
      <c r="C15" t="s">
        <v>23</v>
      </c>
    </row>
    <row r="16" spans="2:3" x14ac:dyDescent="0.3">
      <c r="B16" s="3" t="s">
        <v>24</v>
      </c>
    </row>
    <row r="17" spans="2:13" x14ac:dyDescent="0.3">
      <c r="B17" s="4" t="s">
        <v>8</v>
      </c>
      <c r="C17" s="4" t="s">
        <v>25</v>
      </c>
      <c r="D17" s="4"/>
      <c r="E17" s="4"/>
      <c r="F17" s="4"/>
      <c r="G17" s="4"/>
      <c r="H17" s="4"/>
      <c r="I17" s="4"/>
      <c r="J17" s="4"/>
    </row>
    <row r="18" spans="2:13" x14ac:dyDescent="0.3">
      <c r="B18" s="4" t="s">
        <v>10</v>
      </c>
      <c r="C18" s="4" t="s">
        <v>26</v>
      </c>
      <c r="D18" s="4"/>
      <c r="E18" s="4"/>
      <c r="F18" s="4"/>
      <c r="G18" s="4"/>
      <c r="H18" s="4"/>
      <c r="I18" s="4"/>
      <c r="J18" s="4"/>
    </row>
    <row r="19" spans="2:13" x14ac:dyDescent="0.3">
      <c r="B19" s="4" t="s">
        <v>12</v>
      </c>
      <c r="C19" s="4" t="s">
        <v>27</v>
      </c>
      <c r="D19" s="4"/>
      <c r="E19" s="4"/>
      <c r="F19" s="4"/>
      <c r="G19" s="4"/>
      <c r="H19" s="4"/>
      <c r="I19" s="4"/>
      <c r="J19" s="4"/>
    </row>
    <row r="20" spans="2:13" x14ac:dyDescent="0.3">
      <c r="B20" s="4" t="s">
        <v>12</v>
      </c>
      <c r="C20" s="4" t="s">
        <v>28</v>
      </c>
      <c r="D20" s="4"/>
      <c r="E20" s="4"/>
      <c r="F20" s="4"/>
      <c r="G20" s="4"/>
      <c r="H20" s="4"/>
      <c r="I20" s="4"/>
      <c r="J20" s="4"/>
    </row>
    <row r="21" spans="2:13" x14ac:dyDescent="0.3">
      <c r="B21" s="4" t="s">
        <v>15</v>
      </c>
      <c r="C21" s="4" t="s">
        <v>29</v>
      </c>
      <c r="D21" s="4"/>
      <c r="E21" s="4"/>
      <c r="F21" s="4"/>
      <c r="G21" s="4"/>
      <c r="H21" s="4"/>
      <c r="I21" s="4"/>
      <c r="J21" s="4"/>
    </row>
    <row r="22" spans="2:13" x14ac:dyDescent="0.3">
      <c r="B22" s="4"/>
      <c r="C22" s="4"/>
      <c r="D22" s="4"/>
      <c r="E22" s="4"/>
      <c r="F22" s="4"/>
      <c r="G22" s="4"/>
      <c r="H22" s="4"/>
      <c r="I22" s="4"/>
      <c r="J22" s="4"/>
    </row>
    <row r="23" spans="2:13" x14ac:dyDescent="0.3">
      <c r="B23" s="5" t="s">
        <v>30</v>
      </c>
      <c r="C23" s="5" t="s">
        <v>31</v>
      </c>
      <c r="D23" s="5">
        <v>32</v>
      </c>
      <c r="E23" s="5">
        <v>24</v>
      </c>
      <c r="F23" s="5">
        <v>48</v>
      </c>
      <c r="G23" s="6">
        <v>0</v>
      </c>
      <c r="H23" s="6">
        <v>0</v>
      </c>
      <c r="I23" s="6">
        <v>0</v>
      </c>
      <c r="J23" s="4"/>
      <c r="K23" s="4"/>
      <c r="L23" s="4"/>
      <c r="M23" s="4"/>
    </row>
    <row r="24" spans="2:13" x14ac:dyDescent="0.3">
      <c r="B24" s="5" t="s">
        <v>32</v>
      </c>
      <c r="C24" s="5" t="s">
        <v>33</v>
      </c>
      <c r="D24" s="7" t="s">
        <v>1</v>
      </c>
      <c r="E24" s="8" t="s">
        <v>3</v>
      </c>
      <c r="F24" s="8" t="s">
        <v>5</v>
      </c>
      <c r="G24" s="9" t="s">
        <v>18</v>
      </c>
      <c r="H24" s="9" t="s">
        <v>20</v>
      </c>
      <c r="I24" s="9" t="s">
        <v>22</v>
      </c>
      <c r="J24" s="10" t="s">
        <v>34</v>
      </c>
      <c r="K24" s="11" t="s">
        <v>35</v>
      </c>
      <c r="L24" s="4"/>
      <c r="M24" s="4"/>
    </row>
    <row r="25" spans="2:13" x14ac:dyDescent="0.3">
      <c r="B25" s="12">
        <v>0</v>
      </c>
      <c r="C25" s="6" t="s">
        <v>18</v>
      </c>
      <c r="D25" s="13">
        <v>2</v>
      </c>
      <c r="E25" s="13">
        <v>2</v>
      </c>
      <c r="F25" s="13">
        <v>5</v>
      </c>
      <c r="G25" s="14">
        <v>1</v>
      </c>
      <c r="H25" s="14">
        <v>0</v>
      </c>
      <c r="I25" s="14">
        <v>0</v>
      </c>
      <c r="J25" s="15">
        <v>40</v>
      </c>
      <c r="K25" s="11">
        <f>J25/F25</f>
        <v>8</v>
      </c>
      <c r="L25" s="4" t="s">
        <v>36</v>
      </c>
      <c r="M25" s="4"/>
    </row>
    <row r="26" spans="2:13" x14ac:dyDescent="0.3">
      <c r="B26" s="12">
        <v>0</v>
      </c>
      <c r="C26" s="6" t="s">
        <v>20</v>
      </c>
      <c r="D26" s="13">
        <v>1</v>
      </c>
      <c r="E26" s="13">
        <v>3</v>
      </c>
      <c r="F26" s="13">
        <v>2</v>
      </c>
      <c r="G26" s="14">
        <v>0</v>
      </c>
      <c r="H26" s="14">
        <v>1</v>
      </c>
      <c r="I26" s="14">
        <v>0</v>
      </c>
      <c r="J26" s="15">
        <v>30</v>
      </c>
      <c r="K26" s="11">
        <f>J26/F26</f>
        <v>15</v>
      </c>
      <c r="L26" s="4"/>
      <c r="M26" s="4"/>
    </row>
    <row r="27" spans="2:13" x14ac:dyDescent="0.3">
      <c r="B27" s="12">
        <v>0</v>
      </c>
      <c r="C27" s="6" t="s">
        <v>22</v>
      </c>
      <c r="D27" s="13">
        <v>3</v>
      </c>
      <c r="E27" s="13">
        <v>1</v>
      </c>
      <c r="F27" s="13">
        <v>3</v>
      </c>
      <c r="G27" s="14">
        <v>0</v>
      </c>
      <c r="H27" s="14">
        <v>0</v>
      </c>
      <c r="I27" s="14">
        <v>1</v>
      </c>
      <c r="J27" s="15">
        <v>30</v>
      </c>
      <c r="K27" s="11">
        <f>J27/F27</f>
        <v>10</v>
      </c>
      <c r="L27" s="4"/>
      <c r="M27" s="4"/>
    </row>
    <row r="28" spans="2:13" x14ac:dyDescent="0.3">
      <c r="B28" s="4"/>
      <c r="C28" s="10" t="s">
        <v>37</v>
      </c>
      <c r="D28" s="16">
        <f>SUMPRODUCT($B$25:$B$27,D25:D27)</f>
        <v>0</v>
      </c>
      <c r="E28" s="16">
        <f t="shared" ref="E28:J28" si="0">SUMPRODUCT($B$25:$B$27,E25:E27)</f>
        <v>0</v>
      </c>
      <c r="F28" s="16">
        <f t="shared" si="0"/>
        <v>0</v>
      </c>
      <c r="G28" s="16">
        <f t="shared" si="0"/>
        <v>0</v>
      </c>
      <c r="H28" s="16">
        <f t="shared" si="0"/>
        <v>0</v>
      </c>
      <c r="I28" s="16">
        <f t="shared" si="0"/>
        <v>0</v>
      </c>
      <c r="J28" s="10">
        <f t="shared" si="0"/>
        <v>0</v>
      </c>
      <c r="K28" s="4"/>
      <c r="L28" s="4"/>
      <c r="M28" s="4"/>
    </row>
    <row r="29" spans="2:13" x14ac:dyDescent="0.3">
      <c r="B29" s="4"/>
      <c r="C29" s="10" t="s">
        <v>38</v>
      </c>
      <c r="D29" s="10">
        <f>D23-D28</f>
        <v>32</v>
      </c>
      <c r="E29" s="10">
        <f t="shared" ref="E29:I29" si="1">E23-E28</f>
        <v>24</v>
      </c>
      <c r="F29" s="10">
        <f t="shared" si="1"/>
        <v>48</v>
      </c>
      <c r="G29" s="10">
        <f t="shared" si="1"/>
        <v>0</v>
      </c>
      <c r="H29" s="10">
        <f t="shared" si="1"/>
        <v>0</v>
      </c>
      <c r="I29" s="10">
        <f t="shared" si="1"/>
        <v>0</v>
      </c>
      <c r="J29" s="4"/>
      <c r="K29" s="4"/>
      <c r="L29" s="4"/>
      <c r="M29" s="4"/>
    </row>
    <row r="30" spans="2:13" x14ac:dyDescent="0.3">
      <c r="B30" s="4"/>
      <c r="C30" s="4"/>
      <c r="D30" s="4"/>
      <c r="E30" s="4"/>
      <c r="F30" s="4" t="s">
        <v>39</v>
      </c>
      <c r="G30" s="4"/>
      <c r="H30" s="4"/>
      <c r="I30" s="4"/>
      <c r="J30" s="4"/>
      <c r="K30" s="4"/>
      <c r="L30" s="4"/>
      <c r="M30" s="4"/>
    </row>
    <row r="32" spans="2:13" x14ac:dyDescent="0.3">
      <c r="B32" t="s">
        <v>40</v>
      </c>
      <c r="J32" t="s">
        <v>41</v>
      </c>
    </row>
    <row r="34" spans="2:13" x14ac:dyDescent="0.3">
      <c r="C34" s="17">
        <f>D25</f>
        <v>2</v>
      </c>
      <c r="D34" s="17">
        <f t="shared" ref="D34:E34" si="2">E25</f>
        <v>2</v>
      </c>
      <c r="E34" s="17">
        <f t="shared" si="2"/>
        <v>5</v>
      </c>
      <c r="K34" s="18">
        <f>J25</f>
        <v>40</v>
      </c>
    </row>
    <row r="35" spans="2:13" x14ac:dyDescent="0.3">
      <c r="B35" t="s">
        <v>42</v>
      </c>
      <c r="C35" s="17">
        <f t="shared" ref="C35:E36" si="3">D26</f>
        <v>1</v>
      </c>
      <c r="D35" s="17">
        <f t="shared" si="3"/>
        <v>3</v>
      </c>
      <c r="E35" s="17">
        <f t="shared" si="3"/>
        <v>2</v>
      </c>
      <c r="J35" t="s">
        <v>43</v>
      </c>
      <c r="K35" s="18">
        <f t="shared" ref="K35:K36" si="4">J26</f>
        <v>30</v>
      </c>
    </row>
    <row r="36" spans="2:13" x14ac:dyDescent="0.3">
      <c r="C36" s="17">
        <f t="shared" si="3"/>
        <v>3</v>
      </c>
      <c r="D36" s="17">
        <f t="shared" si="3"/>
        <v>1</v>
      </c>
      <c r="E36" s="17">
        <f t="shared" si="3"/>
        <v>3</v>
      </c>
      <c r="K36" s="18">
        <f t="shared" si="4"/>
        <v>30</v>
      </c>
    </row>
    <row r="38" spans="2:13" x14ac:dyDescent="0.3">
      <c r="J38" t="s">
        <v>44</v>
      </c>
    </row>
    <row r="39" spans="2:13" x14ac:dyDescent="0.3">
      <c r="B39" t="s">
        <v>45</v>
      </c>
    </row>
    <row r="40" spans="2:13" ht="16.2" x14ac:dyDescent="0.3">
      <c r="J40" t="s">
        <v>46</v>
      </c>
      <c r="K40" s="19">
        <v>0</v>
      </c>
      <c r="L40" s="19">
        <v>0</v>
      </c>
      <c r="M40" s="19">
        <v>0</v>
      </c>
    </row>
    <row r="41" spans="2:13" x14ac:dyDescent="0.3">
      <c r="C41" s="20">
        <f>G25</f>
        <v>1</v>
      </c>
      <c r="D41" s="20">
        <f t="shared" ref="D41:E43" si="5">H25</f>
        <v>0</v>
      </c>
      <c r="E41" s="20">
        <f t="shared" si="5"/>
        <v>0</v>
      </c>
    </row>
    <row r="42" spans="2:13" ht="16.2" x14ac:dyDescent="0.3">
      <c r="B42" t="s">
        <v>47</v>
      </c>
      <c r="C42" s="20">
        <f t="shared" ref="C42:C43" si="6">G26</f>
        <v>0</v>
      </c>
      <c r="D42" s="20">
        <f t="shared" si="5"/>
        <v>1</v>
      </c>
      <c r="E42" s="20">
        <f t="shared" si="5"/>
        <v>0</v>
      </c>
    </row>
    <row r="43" spans="2:13" x14ac:dyDescent="0.3">
      <c r="C43" s="20">
        <f t="shared" si="6"/>
        <v>0</v>
      </c>
      <c r="D43" s="20">
        <f t="shared" si="5"/>
        <v>0</v>
      </c>
      <c r="E43" s="20">
        <f t="shared" si="5"/>
        <v>1</v>
      </c>
      <c r="J43" t="s">
        <v>48</v>
      </c>
    </row>
    <row r="45" spans="2:13" ht="16.2" x14ac:dyDescent="0.3">
      <c r="J45" t="s">
        <v>49</v>
      </c>
      <c r="K45" s="21">
        <f t="array" ref="K45:M45">MMULT(K40:M40,C34:E36)</f>
        <v>0</v>
      </c>
      <c r="L45" s="21">
        <v>0</v>
      </c>
      <c r="M45" s="21">
        <v>0</v>
      </c>
    </row>
    <row r="48" spans="2:13" ht="16.2" x14ac:dyDescent="0.3">
      <c r="J48" t="s">
        <v>50</v>
      </c>
      <c r="K48" s="21">
        <f t="array" ref="K48:M48">MMULT(K40:M40,C41:E43)</f>
        <v>0</v>
      </c>
      <c r="L48" s="21">
        <v>0</v>
      </c>
      <c r="M48" s="21">
        <v>0</v>
      </c>
    </row>
    <row r="50" spans="2:11" x14ac:dyDescent="0.3">
      <c r="J50" t="s">
        <v>51</v>
      </c>
    </row>
    <row r="52" spans="2:11" ht="16.2" x14ac:dyDescent="0.3">
      <c r="J52" t="s">
        <v>52</v>
      </c>
      <c r="K52" s="22">
        <f>MMULT(K40:M40,K34:K36)</f>
        <v>0</v>
      </c>
    </row>
    <row r="55" spans="2:11" x14ac:dyDescent="0.3">
      <c r="B55" t="s">
        <v>53</v>
      </c>
    </row>
    <row r="57" spans="2:11" x14ac:dyDescent="0.3">
      <c r="B57" t="s">
        <v>54</v>
      </c>
    </row>
    <row r="59" spans="2:11" x14ac:dyDescent="0.3">
      <c r="C59" t="s">
        <v>55</v>
      </c>
      <c r="D59" s="2" t="s">
        <v>56</v>
      </c>
      <c r="E59" s="2" t="s">
        <v>57</v>
      </c>
    </row>
    <row r="60" spans="2:11" x14ac:dyDescent="0.3">
      <c r="C60" s="23">
        <f>F25</f>
        <v>5</v>
      </c>
      <c r="D60" s="23">
        <f>H25</f>
        <v>0</v>
      </c>
      <c r="E60" s="23">
        <f>I25</f>
        <v>0</v>
      </c>
      <c r="H60" s="24">
        <f t="array" ref="H60:J62">MINVERSE(C60:E62)</f>
        <v>0.2</v>
      </c>
      <c r="I60" s="24">
        <v>0</v>
      </c>
      <c r="J60" s="24">
        <v>0</v>
      </c>
    </row>
    <row r="61" spans="2:11" ht="16.2" x14ac:dyDescent="0.3">
      <c r="B61" t="s">
        <v>58</v>
      </c>
      <c r="C61" s="23">
        <f t="shared" ref="C61:C62" si="7">F26</f>
        <v>2</v>
      </c>
      <c r="D61" s="23">
        <f t="shared" ref="D61:E62" si="8">H26</f>
        <v>1</v>
      </c>
      <c r="E61" s="23">
        <f t="shared" si="8"/>
        <v>0</v>
      </c>
      <c r="G61" t="s">
        <v>59</v>
      </c>
      <c r="H61" s="24">
        <v>-0.4</v>
      </c>
      <c r="I61" s="24">
        <v>1</v>
      </c>
      <c r="J61" s="24">
        <v>0</v>
      </c>
    </row>
    <row r="62" spans="2:11" x14ac:dyDescent="0.3">
      <c r="C62" s="23">
        <f t="shared" si="7"/>
        <v>3</v>
      </c>
      <c r="D62" s="23">
        <f t="shared" si="8"/>
        <v>0</v>
      </c>
      <c r="E62" s="23">
        <f t="shared" si="8"/>
        <v>1</v>
      </c>
      <c r="H62" s="24">
        <v>-0.6</v>
      </c>
      <c r="I62" s="24">
        <v>0</v>
      </c>
      <c r="J62" s="24">
        <v>1</v>
      </c>
    </row>
    <row r="65" spans="2:12" x14ac:dyDescent="0.3">
      <c r="B65" t="s">
        <v>60</v>
      </c>
    </row>
    <row r="67" spans="2:12" x14ac:dyDescent="0.3">
      <c r="C67" s="24">
        <f>H60</f>
        <v>0.2</v>
      </c>
      <c r="D67" s="24">
        <f t="shared" ref="D67:E69" si="9">I60</f>
        <v>0</v>
      </c>
      <c r="E67" s="24">
        <f t="shared" si="9"/>
        <v>0</v>
      </c>
      <c r="F67" s="17">
        <f>C34</f>
        <v>2</v>
      </c>
      <c r="G67" s="17">
        <f t="shared" ref="G67:H69" si="10">D34</f>
        <v>2</v>
      </c>
      <c r="H67" s="17">
        <f t="shared" si="10"/>
        <v>5</v>
      </c>
      <c r="J67" s="25">
        <f t="array" ref="J67:L69">MMULT(C67:E69,F67:H69)</f>
        <v>0.4</v>
      </c>
      <c r="K67" s="25">
        <v>0.4</v>
      </c>
      <c r="L67" s="25">
        <v>1</v>
      </c>
    </row>
    <row r="68" spans="2:12" ht="16.2" x14ac:dyDescent="0.3">
      <c r="B68" t="s">
        <v>61</v>
      </c>
      <c r="C68" s="24">
        <f t="shared" ref="C68:C69" si="11">H61</f>
        <v>-0.4</v>
      </c>
      <c r="D68" s="24">
        <f t="shared" si="9"/>
        <v>1</v>
      </c>
      <c r="E68" s="24">
        <f t="shared" si="9"/>
        <v>0</v>
      </c>
      <c r="F68" s="17">
        <f t="shared" ref="F68:F69" si="12">C35</f>
        <v>1</v>
      </c>
      <c r="G68" s="17">
        <f t="shared" si="10"/>
        <v>3</v>
      </c>
      <c r="H68" s="17">
        <f t="shared" si="10"/>
        <v>2</v>
      </c>
      <c r="I68" t="s">
        <v>62</v>
      </c>
      <c r="J68" s="25">
        <v>0.19999999999999996</v>
      </c>
      <c r="K68" s="25">
        <v>2.2000000000000002</v>
      </c>
      <c r="L68" s="25">
        <v>0</v>
      </c>
    </row>
    <row r="69" spans="2:12" x14ac:dyDescent="0.3">
      <c r="C69" s="24">
        <f t="shared" si="11"/>
        <v>-0.6</v>
      </c>
      <c r="D69" s="24">
        <f t="shared" si="9"/>
        <v>0</v>
      </c>
      <c r="E69" s="24">
        <f t="shared" si="9"/>
        <v>1</v>
      </c>
      <c r="F69" s="17">
        <f t="shared" si="12"/>
        <v>3</v>
      </c>
      <c r="G69" s="17">
        <f t="shared" si="10"/>
        <v>1</v>
      </c>
      <c r="H69" s="17">
        <f t="shared" si="10"/>
        <v>3</v>
      </c>
      <c r="J69" s="25">
        <v>1.8</v>
      </c>
      <c r="K69" s="25">
        <v>-0.19999999999999996</v>
      </c>
      <c r="L69" s="25">
        <v>0</v>
      </c>
    </row>
    <row r="72" spans="2:12" x14ac:dyDescent="0.3">
      <c r="B72" t="s">
        <v>63</v>
      </c>
    </row>
    <row r="74" spans="2:12" x14ac:dyDescent="0.3">
      <c r="C74" s="24">
        <f>C67</f>
        <v>0.2</v>
      </c>
      <c r="D74" s="24">
        <f t="shared" ref="D74:E74" si="13">D67</f>
        <v>0</v>
      </c>
      <c r="E74" s="24">
        <f t="shared" si="13"/>
        <v>0</v>
      </c>
      <c r="F74" s="18">
        <f>K34</f>
        <v>40</v>
      </c>
      <c r="H74" s="18">
        <f t="array" ref="H74:H76">MMULT(C74:E76,F74:F76)</f>
        <v>8</v>
      </c>
    </row>
    <row r="75" spans="2:12" ht="16.2" x14ac:dyDescent="0.3">
      <c r="B75" t="s">
        <v>64</v>
      </c>
      <c r="C75" s="24">
        <f t="shared" ref="C75:E76" si="14">C68</f>
        <v>-0.4</v>
      </c>
      <c r="D75" s="24">
        <f t="shared" si="14"/>
        <v>1</v>
      </c>
      <c r="E75" s="24">
        <f t="shared" si="14"/>
        <v>0</v>
      </c>
      <c r="F75" s="18">
        <f t="shared" ref="F75:F76" si="15">K35</f>
        <v>30</v>
      </c>
      <c r="G75" t="s">
        <v>65</v>
      </c>
      <c r="H75" s="18">
        <v>14</v>
      </c>
    </row>
    <row r="76" spans="2:12" x14ac:dyDescent="0.3">
      <c r="C76" s="24">
        <f t="shared" si="14"/>
        <v>-0.6</v>
      </c>
      <c r="D76" s="24">
        <f t="shared" si="14"/>
        <v>0</v>
      </c>
      <c r="E76" s="24">
        <f t="shared" si="14"/>
        <v>1</v>
      </c>
      <c r="F76" s="18">
        <f t="shared" si="15"/>
        <v>30</v>
      </c>
      <c r="H76" s="18">
        <v>6</v>
      </c>
    </row>
    <row r="79" spans="2:12" x14ac:dyDescent="0.3">
      <c r="B79" s="5" t="s">
        <v>66</v>
      </c>
      <c r="C79" s="5" t="s">
        <v>31</v>
      </c>
      <c r="D79" s="5">
        <v>32</v>
      </c>
      <c r="E79" s="5">
        <v>24</v>
      </c>
      <c r="F79" s="5">
        <v>48</v>
      </c>
      <c r="G79" s="6">
        <v>0</v>
      </c>
      <c r="H79" s="6">
        <v>0</v>
      </c>
      <c r="I79" s="6">
        <v>0</v>
      </c>
      <c r="J79" s="4"/>
      <c r="K79" s="4"/>
    </row>
    <row r="80" spans="2:12" x14ac:dyDescent="0.3">
      <c r="B80" s="5" t="s">
        <v>32</v>
      </c>
      <c r="C80" s="5" t="s">
        <v>33</v>
      </c>
      <c r="D80" s="7" t="s">
        <v>1</v>
      </c>
      <c r="E80" s="8" t="s">
        <v>3</v>
      </c>
      <c r="F80" s="8" t="s">
        <v>5</v>
      </c>
      <c r="G80" s="9" t="s">
        <v>18</v>
      </c>
      <c r="H80" s="9" t="s">
        <v>20</v>
      </c>
      <c r="I80" s="9" t="s">
        <v>22</v>
      </c>
      <c r="J80" s="10" t="s">
        <v>34</v>
      </c>
      <c r="K80" s="11" t="s">
        <v>35</v>
      </c>
    </row>
    <row r="81" spans="2:13" x14ac:dyDescent="0.3">
      <c r="B81" s="26">
        <f>F79</f>
        <v>48</v>
      </c>
      <c r="C81" s="10" t="s">
        <v>5</v>
      </c>
      <c r="D81" s="27">
        <f>J67</f>
        <v>0.4</v>
      </c>
      <c r="E81" s="27">
        <f t="shared" ref="E81:F83" si="16">K67</f>
        <v>0.4</v>
      </c>
      <c r="F81" s="27">
        <f t="shared" si="16"/>
        <v>1</v>
      </c>
      <c r="G81" s="28">
        <f>H60</f>
        <v>0.2</v>
      </c>
      <c r="H81" s="28">
        <f t="shared" ref="H81:I81" si="17">I60</f>
        <v>0</v>
      </c>
      <c r="I81" s="28">
        <f t="shared" si="17"/>
        <v>0</v>
      </c>
      <c r="J81" s="15">
        <f>H74</f>
        <v>8</v>
      </c>
      <c r="K81" s="11">
        <f>J81/D81</f>
        <v>20</v>
      </c>
    </row>
    <row r="82" spans="2:13" x14ac:dyDescent="0.3">
      <c r="B82" s="12">
        <v>0</v>
      </c>
      <c r="C82" s="6" t="s">
        <v>20</v>
      </c>
      <c r="D82" s="27">
        <f t="shared" ref="D82:D83" si="18">J68</f>
        <v>0.19999999999999996</v>
      </c>
      <c r="E82" s="27">
        <f t="shared" si="16"/>
        <v>2.2000000000000002</v>
      </c>
      <c r="F82" s="27">
        <f t="shared" si="16"/>
        <v>0</v>
      </c>
      <c r="G82" s="28">
        <f t="shared" ref="G82:I83" si="19">H61</f>
        <v>-0.4</v>
      </c>
      <c r="H82" s="28">
        <f t="shared" si="19"/>
        <v>1</v>
      </c>
      <c r="I82" s="28">
        <f t="shared" si="19"/>
        <v>0</v>
      </c>
      <c r="J82" s="15">
        <f t="shared" ref="J82:J83" si="20">H75</f>
        <v>14</v>
      </c>
      <c r="K82" s="11">
        <f t="shared" ref="K82:K83" si="21">J82/D82</f>
        <v>70.000000000000014</v>
      </c>
    </row>
    <row r="83" spans="2:13" x14ac:dyDescent="0.3">
      <c r="B83" s="12">
        <v>0</v>
      </c>
      <c r="C83" s="6" t="s">
        <v>22</v>
      </c>
      <c r="D83" s="27">
        <f t="shared" si="18"/>
        <v>1.8</v>
      </c>
      <c r="E83" s="27">
        <f t="shared" si="16"/>
        <v>-0.19999999999999996</v>
      </c>
      <c r="F83" s="27">
        <f t="shared" si="16"/>
        <v>0</v>
      </c>
      <c r="G83" s="28">
        <f t="shared" si="19"/>
        <v>-0.6</v>
      </c>
      <c r="H83" s="28">
        <f t="shared" si="19"/>
        <v>0</v>
      </c>
      <c r="I83" s="28">
        <f t="shared" si="19"/>
        <v>1</v>
      </c>
      <c r="J83" s="15">
        <f t="shared" si="20"/>
        <v>6</v>
      </c>
      <c r="K83" s="11">
        <f t="shared" si="21"/>
        <v>3.333333333333333</v>
      </c>
      <c r="L83" t="s">
        <v>67</v>
      </c>
    </row>
    <row r="84" spans="2:13" x14ac:dyDescent="0.3">
      <c r="B84" s="4"/>
      <c r="C84" s="10" t="s">
        <v>37</v>
      </c>
      <c r="D84" s="16">
        <f>K89</f>
        <v>19.200000000000003</v>
      </c>
      <c r="E84" s="16">
        <f t="shared" ref="E84:F84" si="22">L89</f>
        <v>19.200000000000003</v>
      </c>
      <c r="F84" s="16">
        <f t="shared" si="22"/>
        <v>48</v>
      </c>
      <c r="G84" s="16">
        <f>K94</f>
        <v>9.6000000000000014</v>
      </c>
      <c r="H84" s="16">
        <f t="shared" ref="H84:I84" si="23">L94</f>
        <v>0</v>
      </c>
      <c r="I84" s="16">
        <f t="shared" si="23"/>
        <v>0</v>
      </c>
      <c r="J84" s="29">
        <f>I98</f>
        <v>384</v>
      </c>
      <c r="K84" s="4"/>
    </row>
    <row r="85" spans="2:13" x14ac:dyDescent="0.3">
      <c r="B85" s="4"/>
      <c r="C85" s="10" t="s">
        <v>38</v>
      </c>
      <c r="D85" s="10">
        <f>D79-D84</f>
        <v>12.799999999999997</v>
      </c>
      <c r="E85" s="10">
        <f t="shared" ref="E85:I85" si="24">E79-E84</f>
        <v>4.7999999999999972</v>
      </c>
      <c r="F85" s="10">
        <f t="shared" si="24"/>
        <v>0</v>
      </c>
      <c r="G85" s="10">
        <f t="shared" si="24"/>
        <v>-9.6000000000000014</v>
      </c>
      <c r="H85" s="10">
        <f t="shared" si="24"/>
        <v>0</v>
      </c>
      <c r="I85" s="10">
        <f t="shared" si="24"/>
        <v>0</v>
      </c>
      <c r="J85" s="4"/>
      <c r="K85" s="4"/>
    </row>
    <row r="86" spans="2:13" x14ac:dyDescent="0.3">
      <c r="B86" s="4"/>
      <c r="C86" s="30"/>
      <c r="D86" s="30" t="s">
        <v>68</v>
      </c>
      <c r="E86" s="30"/>
      <c r="F86" s="30"/>
      <c r="G86" s="30"/>
      <c r="H86" s="30"/>
      <c r="I86" s="30"/>
      <c r="J86" s="4"/>
      <c r="K86" s="4"/>
    </row>
    <row r="88" spans="2:13" x14ac:dyDescent="0.3">
      <c r="G88" s="25">
        <f>D81</f>
        <v>0.4</v>
      </c>
      <c r="H88" s="25">
        <f t="shared" ref="H88:I88" si="25">E81</f>
        <v>0.4</v>
      </c>
      <c r="I88" s="25">
        <f t="shared" si="25"/>
        <v>1</v>
      </c>
    </row>
    <row r="89" spans="2:13" ht="16.2" x14ac:dyDescent="0.3">
      <c r="B89" t="s">
        <v>69</v>
      </c>
      <c r="C89" t="s">
        <v>70</v>
      </c>
      <c r="D89" s="31">
        <f t="array" ref="D89:F89">TRANSPOSE(B81:B83)</f>
        <v>48</v>
      </c>
      <c r="E89" s="31">
        <v>0</v>
      </c>
      <c r="F89" s="31">
        <v>0</v>
      </c>
      <c r="G89" s="25">
        <f>D82</f>
        <v>0.19999999999999996</v>
      </c>
      <c r="H89" s="25">
        <f>E82</f>
        <v>2.2000000000000002</v>
      </c>
      <c r="I89" s="25">
        <f>F82</f>
        <v>0</v>
      </c>
      <c r="J89" t="s">
        <v>71</v>
      </c>
      <c r="K89" s="21">
        <f t="array" ref="K89:M89">MMULT(D89:F89,G88:I90)</f>
        <v>19.200000000000003</v>
      </c>
      <c r="L89" s="21">
        <v>19.200000000000003</v>
      </c>
      <c r="M89" s="21">
        <v>48</v>
      </c>
    </row>
    <row r="90" spans="2:13" x14ac:dyDescent="0.3">
      <c r="G90" s="25">
        <f>D83</f>
        <v>1.8</v>
      </c>
      <c r="H90" s="25">
        <f>E83</f>
        <v>-0.19999999999999996</v>
      </c>
      <c r="I90" s="25">
        <f>F83</f>
        <v>0</v>
      </c>
    </row>
    <row r="93" spans="2:13" x14ac:dyDescent="0.3">
      <c r="G93" s="32">
        <f>G81</f>
        <v>0.2</v>
      </c>
      <c r="H93" s="32">
        <f t="shared" ref="H93:I93" si="26">H81</f>
        <v>0</v>
      </c>
      <c r="I93" s="32">
        <f t="shared" si="26"/>
        <v>0</v>
      </c>
    </row>
    <row r="94" spans="2:13" ht="16.2" x14ac:dyDescent="0.3">
      <c r="C94" t="s">
        <v>72</v>
      </c>
      <c r="D94" s="33">
        <f>D89</f>
        <v>48</v>
      </c>
      <c r="E94" s="33">
        <f t="shared" ref="E94:F94" si="27">E89</f>
        <v>0</v>
      </c>
      <c r="F94" s="33">
        <f t="shared" si="27"/>
        <v>0</v>
      </c>
      <c r="G94" s="32">
        <f t="shared" ref="G94:I95" si="28">G82</f>
        <v>-0.4</v>
      </c>
      <c r="H94" s="32">
        <f t="shared" si="28"/>
        <v>1</v>
      </c>
      <c r="I94" s="32">
        <f t="shared" si="28"/>
        <v>0</v>
      </c>
      <c r="J94" t="s">
        <v>73</v>
      </c>
      <c r="K94" s="21">
        <f t="array" ref="K94:M94">MMULT(D94:F94,G93:I95)</f>
        <v>9.6000000000000014</v>
      </c>
      <c r="L94" s="21">
        <v>0</v>
      </c>
      <c r="M94" s="21">
        <v>0</v>
      </c>
    </row>
    <row r="95" spans="2:13" x14ac:dyDescent="0.3">
      <c r="G95" s="32">
        <f t="shared" si="28"/>
        <v>-0.6</v>
      </c>
      <c r="H95" s="32">
        <f t="shared" si="28"/>
        <v>0</v>
      </c>
      <c r="I95" s="32">
        <f t="shared" si="28"/>
        <v>1</v>
      </c>
    </row>
    <row r="97" spans="2:10" x14ac:dyDescent="0.3">
      <c r="G97" s="18">
        <f>J81</f>
        <v>8</v>
      </c>
    </row>
    <row r="98" spans="2:10" ht="16.2" x14ac:dyDescent="0.3">
      <c r="B98" t="s">
        <v>74</v>
      </c>
      <c r="C98" t="s">
        <v>75</v>
      </c>
      <c r="D98" s="33">
        <f>D94:F94</f>
        <v>48</v>
      </c>
      <c r="E98" s="33">
        <f t="shared" ref="E98:F98" si="29">E94:G94</f>
        <v>0</v>
      </c>
      <c r="F98" s="33">
        <f t="shared" si="29"/>
        <v>0</v>
      </c>
      <c r="G98" s="18">
        <f t="shared" ref="G98:G99" si="30">J82</f>
        <v>14</v>
      </c>
      <c r="H98" t="s">
        <v>73</v>
      </c>
      <c r="I98" s="22">
        <f>MMULT(D98:F98,G97:G99)</f>
        <v>384</v>
      </c>
    </row>
    <row r="99" spans="2:10" x14ac:dyDescent="0.3">
      <c r="G99" s="18">
        <f t="shared" si="30"/>
        <v>6</v>
      </c>
    </row>
    <row r="102" spans="2:10" x14ac:dyDescent="0.3">
      <c r="B102" t="s">
        <v>76</v>
      </c>
    </row>
    <row r="104" spans="2:10" x14ac:dyDescent="0.3">
      <c r="B104" t="s">
        <v>77</v>
      </c>
    </row>
    <row r="106" spans="2:10" x14ac:dyDescent="0.3">
      <c r="C106" t="s">
        <v>55</v>
      </c>
      <c r="D106" s="2" t="s">
        <v>56</v>
      </c>
      <c r="E106" s="34" t="s">
        <v>78</v>
      </c>
    </row>
    <row r="107" spans="2:10" x14ac:dyDescent="0.3">
      <c r="C107" s="23">
        <f>F25</f>
        <v>5</v>
      </c>
      <c r="D107" s="35">
        <f>H25</f>
        <v>0</v>
      </c>
      <c r="E107" s="23">
        <f>D25</f>
        <v>2</v>
      </c>
      <c r="H107" s="24">
        <f t="array" ref="H107:J109">MINVERSE(C107:E109)</f>
        <v>0.33333333333333331</v>
      </c>
      <c r="I107" s="24">
        <v>0</v>
      </c>
      <c r="J107" s="24">
        <v>-0.22222222222222224</v>
      </c>
    </row>
    <row r="108" spans="2:10" ht="16.2" x14ac:dyDescent="0.3">
      <c r="B108" t="s">
        <v>79</v>
      </c>
      <c r="C108" s="23">
        <f t="shared" ref="C108:C109" si="31">F26</f>
        <v>2</v>
      </c>
      <c r="D108" s="35">
        <f t="shared" ref="D108:D109" si="32">H26</f>
        <v>1</v>
      </c>
      <c r="E108" s="23">
        <f t="shared" ref="E108:E109" si="33">D26</f>
        <v>1</v>
      </c>
      <c r="G108" t="s">
        <v>80</v>
      </c>
      <c r="H108" s="24">
        <v>-0.33333333333333337</v>
      </c>
      <c r="I108" s="24">
        <v>1</v>
      </c>
      <c r="J108" s="24">
        <v>-0.11111111111111109</v>
      </c>
    </row>
    <row r="109" spans="2:10" x14ac:dyDescent="0.3">
      <c r="C109" s="23">
        <f t="shared" si="31"/>
        <v>3</v>
      </c>
      <c r="D109" s="35">
        <f t="shared" si="32"/>
        <v>0</v>
      </c>
      <c r="E109" s="23">
        <f t="shared" si="33"/>
        <v>3</v>
      </c>
      <c r="H109" s="24">
        <v>-0.33333333333333331</v>
      </c>
      <c r="I109" s="24">
        <v>0</v>
      </c>
      <c r="J109" s="24">
        <v>0.55555555555555558</v>
      </c>
    </row>
    <row r="111" spans="2:10" x14ac:dyDescent="0.3">
      <c r="B111" t="s">
        <v>81</v>
      </c>
    </row>
    <row r="113" spans="2:12" x14ac:dyDescent="0.3">
      <c r="C113" s="24">
        <f>H107</f>
        <v>0.33333333333333331</v>
      </c>
      <c r="D113" s="24">
        <f t="shared" ref="D113:E115" si="34">I107</f>
        <v>0</v>
      </c>
      <c r="E113" s="24">
        <f t="shared" si="34"/>
        <v>-0.22222222222222224</v>
      </c>
      <c r="F113" s="17">
        <f>C34</f>
        <v>2</v>
      </c>
      <c r="G113" s="17">
        <f t="shared" ref="G113:H115" si="35">D34</f>
        <v>2</v>
      </c>
      <c r="H113" s="17">
        <f t="shared" si="35"/>
        <v>5</v>
      </c>
      <c r="J113" s="25">
        <f t="array" ref="J113:L115">MMULT(C113:E115,F113:H115)</f>
        <v>-1.1102230246251565E-16</v>
      </c>
      <c r="K113" s="25">
        <v>0.44444444444444442</v>
      </c>
      <c r="L113" s="25">
        <v>0.99999999999999978</v>
      </c>
    </row>
    <row r="114" spans="2:12" ht="16.2" x14ac:dyDescent="0.3">
      <c r="B114" t="s">
        <v>82</v>
      </c>
      <c r="C114" s="24">
        <f t="shared" ref="C114:C115" si="36">H108</f>
        <v>-0.33333333333333337</v>
      </c>
      <c r="D114" s="24">
        <f t="shared" si="34"/>
        <v>1</v>
      </c>
      <c r="E114" s="24">
        <f t="shared" si="34"/>
        <v>-0.11111111111111109</v>
      </c>
      <c r="F114" s="17">
        <f t="shared" ref="F114:F115" si="37">C35</f>
        <v>1</v>
      </c>
      <c r="G114" s="17">
        <f t="shared" si="35"/>
        <v>3</v>
      </c>
      <c r="H114" s="17">
        <f t="shared" si="35"/>
        <v>2</v>
      </c>
      <c r="I114" t="s">
        <v>83</v>
      </c>
      <c r="J114" s="25">
        <v>0</v>
      </c>
      <c r="K114" s="25">
        <v>2.2222222222222219</v>
      </c>
      <c r="L114" s="25">
        <v>-2.2204460492503131E-16</v>
      </c>
    </row>
    <row r="115" spans="2:12" x14ac:dyDescent="0.3">
      <c r="C115" s="24">
        <f t="shared" si="36"/>
        <v>-0.33333333333333331</v>
      </c>
      <c r="D115" s="24">
        <f t="shared" si="34"/>
        <v>0</v>
      </c>
      <c r="E115" s="24">
        <f t="shared" si="34"/>
        <v>0.55555555555555558</v>
      </c>
      <c r="F115" s="17">
        <f t="shared" si="37"/>
        <v>3</v>
      </c>
      <c r="G115" s="17">
        <f t="shared" si="35"/>
        <v>1</v>
      </c>
      <c r="H115" s="17">
        <f t="shared" si="35"/>
        <v>3</v>
      </c>
      <c r="J115" s="25">
        <v>1</v>
      </c>
      <c r="K115" s="25">
        <v>-0.11111111111111105</v>
      </c>
      <c r="L115" s="25">
        <v>2.2204460492503131E-16</v>
      </c>
    </row>
    <row r="117" spans="2:12" x14ac:dyDescent="0.3">
      <c r="B117" t="s">
        <v>84</v>
      </c>
    </row>
    <row r="119" spans="2:12" x14ac:dyDescent="0.3">
      <c r="C119" s="24">
        <f>C113</f>
        <v>0.33333333333333331</v>
      </c>
      <c r="D119" s="24">
        <f t="shared" ref="D119:E119" si="38">D113</f>
        <v>0</v>
      </c>
      <c r="E119" s="24">
        <f t="shared" si="38"/>
        <v>-0.22222222222222224</v>
      </c>
      <c r="F119" s="36">
        <f>K34</f>
        <v>40</v>
      </c>
      <c r="H119" s="37">
        <f t="array" ref="H119:H121">MMULT(C119:E121,F119:F121)</f>
        <v>6.6666666666666652</v>
      </c>
    </row>
    <row r="120" spans="2:12" ht="16.2" x14ac:dyDescent="0.3">
      <c r="B120" t="s">
        <v>85</v>
      </c>
      <c r="C120" s="24">
        <f t="shared" ref="C120:E121" si="39">C114</f>
        <v>-0.33333333333333337</v>
      </c>
      <c r="D120" s="24">
        <f t="shared" si="39"/>
        <v>1</v>
      </c>
      <c r="E120" s="24">
        <f t="shared" si="39"/>
        <v>-0.11111111111111109</v>
      </c>
      <c r="F120" s="36">
        <f t="shared" ref="F120:F121" si="40">K35</f>
        <v>30</v>
      </c>
      <c r="G120" t="s">
        <v>86</v>
      </c>
      <c r="H120" s="37">
        <v>13.333333333333332</v>
      </c>
    </row>
    <row r="121" spans="2:12" x14ac:dyDescent="0.3">
      <c r="C121" s="24">
        <f t="shared" si="39"/>
        <v>-0.33333333333333331</v>
      </c>
      <c r="D121" s="24">
        <f t="shared" si="39"/>
        <v>0</v>
      </c>
      <c r="E121" s="24">
        <f t="shared" si="39"/>
        <v>0.55555555555555558</v>
      </c>
      <c r="F121" s="36">
        <f t="shared" si="40"/>
        <v>30</v>
      </c>
      <c r="H121" s="37">
        <v>3.3333333333333357</v>
      </c>
    </row>
    <row r="124" spans="2:12" x14ac:dyDescent="0.3">
      <c r="B124" s="5" t="s">
        <v>87</v>
      </c>
      <c r="C124" s="5" t="s">
        <v>31</v>
      </c>
      <c r="D124" s="5">
        <v>32</v>
      </c>
      <c r="E124" s="5">
        <v>24</v>
      </c>
      <c r="F124" s="5">
        <v>48</v>
      </c>
      <c r="G124" s="6">
        <v>0</v>
      </c>
      <c r="H124" s="6">
        <v>0</v>
      </c>
      <c r="I124" s="6">
        <v>0</v>
      </c>
      <c r="J124" s="4"/>
      <c r="K124" s="4"/>
    </row>
    <row r="125" spans="2:12" x14ac:dyDescent="0.3">
      <c r="B125" s="5" t="s">
        <v>32</v>
      </c>
      <c r="C125" s="5" t="s">
        <v>33</v>
      </c>
      <c r="D125" s="7" t="s">
        <v>1</v>
      </c>
      <c r="E125" s="8" t="s">
        <v>3</v>
      </c>
      <c r="F125" s="8" t="s">
        <v>5</v>
      </c>
      <c r="G125" s="9" t="s">
        <v>18</v>
      </c>
      <c r="H125" s="9" t="s">
        <v>20</v>
      </c>
      <c r="I125" s="9" t="s">
        <v>22</v>
      </c>
      <c r="J125" s="10" t="s">
        <v>34</v>
      </c>
      <c r="K125" s="11" t="s">
        <v>35</v>
      </c>
    </row>
    <row r="126" spans="2:12" x14ac:dyDescent="0.3">
      <c r="B126" s="26">
        <f>F124</f>
        <v>48</v>
      </c>
      <c r="C126" s="10" t="s">
        <v>5</v>
      </c>
      <c r="D126" s="27">
        <f>J113</f>
        <v>-1.1102230246251565E-16</v>
      </c>
      <c r="E126" s="27">
        <f t="shared" ref="E126:F128" si="41">K113</f>
        <v>0.44444444444444442</v>
      </c>
      <c r="F126" s="27">
        <f t="shared" si="41"/>
        <v>0.99999999999999978</v>
      </c>
      <c r="G126" s="28">
        <f>C119</f>
        <v>0.33333333333333331</v>
      </c>
      <c r="H126" s="28">
        <f t="shared" ref="H126:I128" si="42">D119</f>
        <v>0</v>
      </c>
      <c r="I126" s="28">
        <f t="shared" si="42"/>
        <v>-0.22222222222222224</v>
      </c>
      <c r="J126" s="38">
        <f>H119</f>
        <v>6.6666666666666652</v>
      </c>
      <c r="K126" s="11">
        <f>J126/E126</f>
        <v>14.999999999999998</v>
      </c>
    </row>
    <row r="127" spans="2:12" x14ac:dyDescent="0.3">
      <c r="B127" s="12">
        <v>0</v>
      </c>
      <c r="C127" s="6" t="s">
        <v>20</v>
      </c>
      <c r="D127" s="27">
        <f t="shared" ref="D127:D128" si="43">J114</f>
        <v>0</v>
      </c>
      <c r="E127" s="27">
        <f t="shared" si="41"/>
        <v>2.2222222222222219</v>
      </c>
      <c r="F127" s="27">
        <f t="shared" si="41"/>
        <v>-2.2204460492503131E-16</v>
      </c>
      <c r="G127" s="28">
        <f t="shared" ref="G127:G128" si="44">C120</f>
        <v>-0.33333333333333337</v>
      </c>
      <c r="H127" s="28">
        <f t="shared" si="42"/>
        <v>1</v>
      </c>
      <c r="I127" s="28">
        <f t="shared" si="42"/>
        <v>-0.11111111111111109</v>
      </c>
      <c r="J127" s="38">
        <f t="shared" ref="J127:J128" si="45">H120</f>
        <v>13.333333333333332</v>
      </c>
      <c r="K127" s="11">
        <f t="shared" ref="K127:K128" si="46">J127/E127</f>
        <v>6</v>
      </c>
      <c r="L127" t="s">
        <v>67</v>
      </c>
    </row>
    <row r="128" spans="2:12" x14ac:dyDescent="0.3">
      <c r="B128" s="26">
        <f>D124</f>
        <v>32</v>
      </c>
      <c r="C128" s="10" t="s">
        <v>1</v>
      </c>
      <c r="D128" s="27">
        <f t="shared" si="43"/>
        <v>1</v>
      </c>
      <c r="E128" s="27">
        <f t="shared" si="41"/>
        <v>-0.11111111111111105</v>
      </c>
      <c r="F128" s="27">
        <f t="shared" si="41"/>
        <v>2.2204460492503131E-16</v>
      </c>
      <c r="G128" s="28">
        <f t="shared" si="44"/>
        <v>-0.33333333333333331</v>
      </c>
      <c r="H128" s="28">
        <f t="shared" si="42"/>
        <v>0</v>
      </c>
      <c r="I128" s="28">
        <f t="shared" si="42"/>
        <v>0.55555555555555558</v>
      </c>
      <c r="J128" s="38">
        <f t="shared" si="45"/>
        <v>3.3333333333333357</v>
      </c>
      <c r="K128" s="11">
        <f t="shared" si="46"/>
        <v>-30.000000000000039</v>
      </c>
    </row>
    <row r="129" spans="2:13" x14ac:dyDescent="0.3">
      <c r="B129" s="4"/>
      <c r="C129" s="10" t="s">
        <v>37</v>
      </c>
      <c r="D129" s="39">
        <f>K134</f>
        <v>31.999999999999993</v>
      </c>
      <c r="E129" s="39">
        <f t="shared" ref="E129:F129" si="47">L134</f>
        <v>17.777777777777779</v>
      </c>
      <c r="F129" s="39">
        <f t="shared" si="47"/>
        <v>47.999999999999993</v>
      </c>
      <c r="G129" s="39">
        <f>K139</f>
        <v>5.3333333333333339</v>
      </c>
      <c r="H129" s="39">
        <f t="shared" ref="H129:I129" si="48">L139</f>
        <v>0</v>
      </c>
      <c r="I129" s="39">
        <f t="shared" si="48"/>
        <v>7.1111111111111107</v>
      </c>
      <c r="J129" s="40">
        <f>I143</f>
        <v>426.66666666666669</v>
      </c>
      <c r="K129" s="4"/>
    </row>
    <row r="130" spans="2:13" x14ac:dyDescent="0.3">
      <c r="B130" s="4"/>
      <c r="C130" s="10" t="s">
        <v>38</v>
      </c>
      <c r="D130" s="41">
        <f>D124-D129</f>
        <v>0</v>
      </c>
      <c r="E130" s="41">
        <f t="shared" ref="E130:I130" si="49">E124-E129</f>
        <v>6.2222222222222214</v>
      </c>
      <c r="F130" s="41">
        <f t="shared" si="49"/>
        <v>0</v>
      </c>
      <c r="G130" s="41">
        <f t="shared" si="49"/>
        <v>-5.3333333333333339</v>
      </c>
      <c r="H130" s="41">
        <f t="shared" si="49"/>
        <v>0</v>
      </c>
      <c r="I130" s="41">
        <f t="shared" si="49"/>
        <v>-7.1111111111111107</v>
      </c>
      <c r="J130" s="4"/>
      <c r="K130" s="4"/>
    </row>
    <row r="131" spans="2:13" x14ac:dyDescent="0.3">
      <c r="E131" t="s">
        <v>68</v>
      </c>
    </row>
    <row r="133" spans="2:13" x14ac:dyDescent="0.3">
      <c r="G133" s="25">
        <f>D126</f>
        <v>-1.1102230246251565E-16</v>
      </c>
      <c r="H133" s="25">
        <f t="shared" ref="H133:I133" si="50">E126</f>
        <v>0.44444444444444442</v>
      </c>
      <c r="I133" s="25">
        <f t="shared" si="50"/>
        <v>0.99999999999999978</v>
      </c>
    </row>
    <row r="134" spans="2:13" ht="16.2" x14ac:dyDescent="0.3">
      <c r="B134" t="s">
        <v>69</v>
      </c>
      <c r="C134" t="s">
        <v>88</v>
      </c>
      <c r="D134" s="31">
        <f t="array" ref="D134:F134">TRANSPOSE(B126:B128)</f>
        <v>48</v>
      </c>
      <c r="E134" s="31">
        <v>0</v>
      </c>
      <c r="F134" s="31">
        <v>32</v>
      </c>
      <c r="G134" s="25">
        <f>D127</f>
        <v>0</v>
      </c>
      <c r="H134" s="25">
        <f>E127</f>
        <v>2.2222222222222219</v>
      </c>
      <c r="I134" s="25">
        <f>F127</f>
        <v>-2.2204460492503131E-16</v>
      </c>
      <c r="J134" t="s">
        <v>71</v>
      </c>
      <c r="K134" s="42">
        <f t="array" ref="K134:M134">MMULT(D134:F134,G133:I135)</f>
        <v>31.999999999999993</v>
      </c>
      <c r="L134" s="42">
        <v>17.777777777777779</v>
      </c>
      <c r="M134" s="42">
        <v>47.999999999999993</v>
      </c>
    </row>
    <row r="135" spans="2:13" x14ac:dyDescent="0.3">
      <c r="G135" s="25">
        <f>D128</f>
        <v>1</v>
      </c>
      <c r="H135" s="25">
        <f>E128</f>
        <v>-0.11111111111111105</v>
      </c>
      <c r="I135" s="25">
        <f>F128</f>
        <v>2.2204460492503131E-16</v>
      </c>
    </row>
    <row r="138" spans="2:13" x14ac:dyDescent="0.3">
      <c r="G138" s="32">
        <f>G126</f>
        <v>0.33333333333333331</v>
      </c>
      <c r="H138" s="32">
        <f t="shared" ref="H138:I138" si="51">H126</f>
        <v>0</v>
      </c>
      <c r="I138" s="32">
        <f t="shared" si="51"/>
        <v>-0.22222222222222224</v>
      </c>
    </row>
    <row r="139" spans="2:13" ht="16.2" x14ac:dyDescent="0.3">
      <c r="C139" t="s">
        <v>89</v>
      </c>
      <c r="D139" s="31">
        <f>D134</f>
        <v>48</v>
      </c>
      <c r="E139" s="31">
        <f t="shared" ref="E139:F139" si="52">E134</f>
        <v>0</v>
      </c>
      <c r="F139" s="31">
        <f t="shared" si="52"/>
        <v>32</v>
      </c>
      <c r="G139" s="32">
        <f t="shared" ref="G139:I140" si="53">G127</f>
        <v>-0.33333333333333337</v>
      </c>
      <c r="H139" s="32">
        <f t="shared" si="53"/>
        <v>1</v>
      </c>
      <c r="I139" s="32">
        <f t="shared" si="53"/>
        <v>-0.11111111111111109</v>
      </c>
      <c r="J139" t="s">
        <v>73</v>
      </c>
      <c r="K139" s="42">
        <f t="array" ref="K139:M139">MMULT(D139:F139,G138:I140)</f>
        <v>5.3333333333333339</v>
      </c>
      <c r="L139" s="42">
        <v>0</v>
      </c>
      <c r="M139" s="42">
        <v>7.1111111111111107</v>
      </c>
    </row>
    <row r="140" spans="2:13" x14ac:dyDescent="0.3">
      <c r="G140" s="32">
        <f t="shared" si="53"/>
        <v>-0.33333333333333331</v>
      </c>
      <c r="H140" s="32">
        <f t="shared" si="53"/>
        <v>0</v>
      </c>
      <c r="I140" s="32">
        <f t="shared" si="53"/>
        <v>0.55555555555555558</v>
      </c>
    </row>
    <row r="142" spans="2:13" x14ac:dyDescent="0.3">
      <c r="G142" s="43">
        <f>J126</f>
        <v>6.6666666666666652</v>
      </c>
    </row>
    <row r="143" spans="2:13" ht="16.2" x14ac:dyDescent="0.3">
      <c r="B143" t="s">
        <v>74</v>
      </c>
      <c r="C143" t="s">
        <v>90</v>
      </c>
      <c r="D143" s="33">
        <f>D139:F139</f>
        <v>48</v>
      </c>
      <c r="E143" s="33">
        <f t="shared" ref="E143:F143" si="54">E139:G139</f>
        <v>0</v>
      </c>
      <c r="F143" s="33">
        <f t="shared" si="54"/>
        <v>32</v>
      </c>
      <c r="G143" s="43">
        <f t="shared" ref="G143:G144" si="55">J127</f>
        <v>13.333333333333332</v>
      </c>
      <c r="H143" t="s">
        <v>73</v>
      </c>
      <c r="I143" s="44">
        <f>MMULT(D143:F143,G142:G144)</f>
        <v>426.66666666666669</v>
      </c>
    </row>
    <row r="144" spans="2:13" x14ac:dyDescent="0.3">
      <c r="G144" s="43">
        <f t="shared" si="55"/>
        <v>3.3333333333333357</v>
      </c>
    </row>
    <row r="147" spans="2:12" x14ac:dyDescent="0.3">
      <c r="B147" t="s">
        <v>91</v>
      </c>
    </row>
    <row r="149" spans="2:12" x14ac:dyDescent="0.3">
      <c r="B149" t="s">
        <v>92</v>
      </c>
    </row>
    <row r="151" spans="2:12" x14ac:dyDescent="0.3">
      <c r="C151" t="s">
        <v>55</v>
      </c>
      <c r="D151" s="34" t="s">
        <v>93</v>
      </c>
      <c r="E151" s="34" t="s">
        <v>78</v>
      </c>
    </row>
    <row r="152" spans="2:12" x14ac:dyDescent="0.3">
      <c r="C152" s="45">
        <f>F25</f>
        <v>5</v>
      </c>
      <c r="D152" s="45">
        <f>E25</f>
        <v>2</v>
      </c>
      <c r="E152" s="45">
        <f>D25</f>
        <v>2</v>
      </c>
      <c r="H152" s="24">
        <f t="array" ref="H152:J154">MINVERSE(C152:E154)</f>
        <v>0.4</v>
      </c>
      <c r="I152" s="24">
        <v>-0.19999999999999998</v>
      </c>
      <c r="J152" s="24">
        <v>-0.2</v>
      </c>
    </row>
    <row r="153" spans="2:12" ht="16.2" x14ac:dyDescent="0.3">
      <c r="B153" t="s">
        <v>94</v>
      </c>
      <c r="C153" s="45">
        <f t="shared" ref="C153:C154" si="56">F26</f>
        <v>2</v>
      </c>
      <c r="D153" s="45">
        <f t="shared" ref="D153:D154" si="57">E26</f>
        <v>3</v>
      </c>
      <c r="E153" s="45">
        <f t="shared" ref="E153:E154" si="58">D26</f>
        <v>1</v>
      </c>
      <c r="G153" t="s">
        <v>95</v>
      </c>
      <c r="H153" s="24">
        <v>-0.15</v>
      </c>
      <c r="I153" s="24">
        <v>0.44999999999999996</v>
      </c>
      <c r="J153" s="24">
        <v>-4.9999999999999989E-2</v>
      </c>
    </row>
    <row r="154" spans="2:12" x14ac:dyDescent="0.3">
      <c r="C154" s="45">
        <f t="shared" si="56"/>
        <v>3</v>
      </c>
      <c r="D154" s="45">
        <f t="shared" si="57"/>
        <v>1</v>
      </c>
      <c r="E154" s="45">
        <f t="shared" si="58"/>
        <v>3</v>
      </c>
      <c r="H154" s="24">
        <v>-0.35000000000000003</v>
      </c>
      <c r="I154" s="24">
        <v>4.9999999999999989E-2</v>
      </c>
      <c r="J154" s="24">
        <v>0.55000000000000004</v>
      </c>
    </row>
    <row r="156" spans="2:12" x14ac:dyDescent="0.3">
      <c r="B156" t="s">
        <v>96</v>
      </c>
    </row>
    <row r="158" spans="2:12" x14ac:dyDescent="0.3">
      <c r="C158" s="24">
        <f>H152</f>
        <v>0.4</v>
      </c>
      <c r="D158" s="24">
        <f t="shared" ref="D158:E160" si="59">I152</f>
        <v>-0.19999999999999998</v>
      </c>
      <c r="E158" s="24">
        <f t="shared" si="59"/>
        <v>-0.2</v>
      </c>
      <c r="F158" s="17">
        <f>C34</f>
        <v>2</v>
      </c>
      <c r="G158" s="17">
        <f t="shared" ref="G158:H160" si="60">D34</f>
        <v>2</v>
      </c>
      <c r="H158" s="17">
        <f t="shared" si="60"/>
        <v>5</v>
      </c>
      <c r="J158" s="25">
        <f t="array" ref="J158:L160">MMULT(C158:E160,F158:H160)</f>
        <v>0</v>
      </c>
      <c r="K158" s="25">
        <v>5.5511151231257827E-17</v>
      </c>
      <c r="L158" s="25">
        <v>1</v>
      </c>
    </row>
    <row r="159" spans="2:12" ht="16.2" x14ac:dyDescent="0.3">
      <c r="B159" t="s">
        <v>97</v>
      </c>
      <c r="C159" s="24">
        <f t="shared" ref="C159:C160" si="61">H153</f>
        <v>-0.15</v>
      </c>
      <c r="D159" s="24">
        <f t="shared" si="59"/>
        <v>0.44999999999999996</v>
      </c>
      <c r="E159" s="24">
        <f t="shared" si="59"/>
        <v>-4.9999999999999989E-2</v>
      </c>
      <c r="F159" s="17">
        <f t="shared" ref="F159:F160" si="62">C35</f>
        <v>1</v>
      </c>
      <c r="G159" s="17">
        <f t="shared" si="60"/>
        <v>3</v>
      </c>
      <c r="H159" s="17">
        <f t="shared" si="60"/>
        <v>2</v>
      </c>
      <c r="I159" t="s">
        <v>98</v>
      </c>
      <c r="J159" s="25">
        <v>0</v>
      </c>
      <c r="K159" s="25">
        <v>0.99999999999999978</v>
      </c>
      <c r="L159" s="25">
        <v>-5.5511151231257827E-17</v>
      </c>
    </row>
    <row r="160" spans="2:12" x14ac:dyDescent="0.3">
      <c r="C160" s="24">
        <f t="shared" si="61"/>
        <v>-0.35000000000000003</v>
      </c>
      <c r="D160" s="24">
        <f t="shared" si="59"/>
        <v>4.9999999999999989E-2</v>
      </c>
      <c r="E160" s="24">
        <f t="shared" si="59"/>
        <v>0.55000000000000004</v>
      </c>
      <c r="F160" s="17">
        <f t="shared" si="62"/>
        <v>3</v>
      </c>
      <c r="G160" s="17">
        <f t="shared" si="60"/>
        <v>1</v>
      </c>
      <c r="H160" s="17">
        <f t="shared" si="60"/>
        <v>3</v>
      </c>
      <c r="J160" s="25">
        <v>1</v>
      </c>
      <c r="K160" s="25">
        <v>0</v>
      </c>
      <c r="L160" s="25">
        <v>-2.2204460492503131E-16</v>
      </c>
    </row>
    <row r="163" spans="2:11" x14ac:dyDescent="0.3">
      <c r="B163" t="s">
        <v>99</v>
      </c>
    </row>
    <row r="165" spans="2:11" x14ac:dyDescent="0.3">
      <c r="C165" s="24">
        <f>C158</f>
        <v>0.4</v>
      </c>
      <c r="D165" s="24">
        <f t="shared" ref="D165:E165" si="63">D158</f>
        <v>-0.19999999999999998</v>
      </c>
      <c r="E165" s="24">
        <f t="shared" si="63"/>
        <v>-0.2</v>
      </c>
      <c r="F165" s="18">
        <f>J25</f>
        <v>40</v>
      </c>
      <c r="H165" s="18">
        <f t="array" ref="H165:H167">MMULT(C165:E167,F165:F167)</f>
        <v>4</v>
      </c>
    </row>
    <row r="166" spans="2:11" ht="16.2" x14ac:dyDescent="0.3">
      <c r="B166" t="s">
        <v>100</v>
      </c>
      <c r="C166" s="24">
        <f t="shared" ref="C166:E167" si="64">C159</f>
        <v>-0.15</v>
      </c>
      <c r="D166" s="24">
        <f t="shared" si="64"/>
        <v>0.44999999999999996</v>
      </c>
      <c r="E166" s="24">
        <f t="shared" si="64"/>
        <v>-4.9999999999999989E-2</v>
      </c>
      <c r="F166" s="18">
        <f t="shared" ref="F166:F167" si="65">J26</f>
        <v>30</v>
      </c>
      <c r="G166" t="s">
        <v>101</v>
      </c>
      <c r="H166" s="18">
        <v>5.9999999999999982</v>
      </c>
    </row>
    <row r="167" spans="2:11" x14ac:dyDescent="0.3">
      <c r="C167" s="24">
        <f t="shared" si="64"/>
        <v>-0.35000000000000003</v>
      </c>
      <c r="D167" s="24">
        <f t="shared" si="64"/>
        <v>4.9999999999999989E-2</v>
      </c>
      <c r="E167" s="24">
        <f t="shared" si="64"/>
        <v>0.55000000000000004</v>
      </c>
      <c r="F167" s="18">
        <f t="shared" si="65"/>
        <v>30</v>
      </c>
      <c r="H167" s="18">
        <v>3.9999999999999982</v>
      </c>
    </row>
    <row r="170" spans="2:11" x14ac:dyDescent="0.3">
      <c r="B170" s="5" t="s">
        <v>102</v>
      </c>
      <c r="C170" s="5" t="s">
        <v>31</v>
      </c>
      <c r="D170" s="5">
        <v>32</v>
      </c>
      <c r="E170" s="5">
        <v>24</v>
      </c>
      <c r="F170" s="5">
        <v>48</v>
      </c>
      <c r="G170" s="6">
        <v>0</v>
      </c>
      <c r="H170" s="6">
        <v>0</v>
      </c>
      <c r="I170" s="6">
        <v>0</v>
      </c>
      <c r="J170" s="4"/>
      <c r="K170" s="4"/>
    </row>
    <row r="171" spans="2:11" x14ac:dyDescent="0.3">
      <c r="B171" s="5" t="s">
        <v>32</v>
      </c>
      <c r="C171" s="5" t="s">
        <v>33</v>
      </c>
      <c r="D171" s="7" t="s">
        <v>1</v>
      </c>
      <c r="E171" s="8" t="s">
        <v>3</v>
      </c>
      <c r="F171" s="8" t="s">
        <v>5</v>
      </c>
      <c r="G171" s="9" t="s">
        <v>18</v>
      </c>
      <c r="H171" s="9" t="s">
        <v>20</v>
      </c>
      <c r="I171" s="9" t="s">
        <v>22</v>
      </c>
      <c r="J171" s="10" t="s">
        <v>34</v>
      </c>
      <c r="K171" s="11" t="s">
        <v>35</v>
      </c>
    </row>
    <row r="172" spans="2:11" x14ac:dyDescent="0.3">
      <c r="B172" s="26">
        <f>F170</f>
        <v>48</v>
      </c>
      <c r="C172" s="10" t="s">
        <v>5</v>
      </c>
      <c r="D172" s="27">
        <f>J158</f>
        <v>0</v>
      </c>
      <c r="E172" s="27">
        <f t="shared" ref="E172:F174" si="66">K158</f>
        <v>5.5511151231257827E-17</v>
      </c>
      <c r="F172" s="27">
        <f t="shared" si="66"/>
        <v>1</v>
      </c>
      <c r="G172" s="28">
        <f>C165</f>
        <v>0.4</v>
      </c>
      <c r="H172" s="28">
        <f t="shared" ref="H172:I174" si="67">D165</f>
        <v>-0.19999999999999998</v>
      </c>
      <c r="I172" s="28">
        <f t="shared" si="67"/>
        <v>-0.2</v>
      </c>
      <c r="J172" s="38">
        <f>H165</f>
        <v>4</v>
      </c>
      <c r="K172" s="11"/>
    </row>
    <row r="173" spans="2:11" x14ac:dyDescent="0.3">
      <c r="B173" s="26">
        <f>E170</f>
        <v>24</v>
      </c>
      <c r="C173" s="6" t="s">
        <v>3</v>
      </c>
      <c r="D173" s="27">
        <f t="shared" ref="D173:D174" si="68">J159</f>
        <v>0</v>
      </c>
      <c r="E173" s="27">
        <f t="shared" si="66"/>
        <v>0.99999999999999978</v>
      </c>
      <c r="F173" s="27">
        <f t="shared" si="66"/>
        <v>-5.5511151231257827E-17</v>
      </c>
      <c r="G173" s="28">
        <f t="shared" ref="G173:G174" si="69">C166</f>
        <v>-0.15</v>
      </c>
      <c r="H173" s="28">
        <f t="shared" si="67"/>
        <v>0.44999999999999996</v>
      </c>
      <c r="I173" s="28">
        <f t="shared" si="67"/>
        <v>-4.9999999999999989E-2</v>
      </c>
      <c r="J173" s="38">
        <f t="shared" ref="J173:J174" si="70">H166</f>
        <v>5.9999999999999982</v>
      </c>
      <c r="K173" s="11"/>
    </row>
    <row r="174" spans="2:11" x14ac:dyDescent="0.3">
      <c r="B174" s="26">
        <f>D170</f>
        <v>32</v>
      </c>
      <c r="C174" s="10" t="s">
        <v>1</v>
      </c>
      <c r="D174" s="27">
        <f t="shared" si="68"/>
        <v>1</v>
      </c>
      <c r="E174" s="27">
        <f t="shared" si="66"/>
        <v>0</v>
      </c>
      <c r="F174" s="27">
        <f t="shared" si="66"/>
        <v>-2.2204460492503131E-16</v>
      </c>
      <c r="G174" s="28">
        <f t="shared" si="69"/>
        <v>-0.35000000000000003</v>
      </c>
      <c r="H174" s="28">
        <f t="shared" si="67"/>
        <v>4.9999999999999989E-2</v>
      </c>
      <c r="I174" s="28">
        <f t="shared" si="67"/>
        <v>0.55000000000000004</v>
      </c>
      <c r="J174" s="38">
        <f t="shared" si="70"/>
        <v>3.9999999999999982</v>
      </c>
      <c r="K174" s="11"/>
    </row>
    <row r="175" spans="2:11" x14ac:dyDescent="0.3">
      <c r="B175" s="4"/>
      <c r="C175" s="10" t="s">
        <v>37</v>
      </c>
      <c r="D175" s="39">
        <f>K180</f>
        <v>32</v>
      </c>
      <c r="E175" s="39">
        <f t="shared" ref="E175:F175" si="71">L180</f>
        <v>23.999999999999996</v>
      </c>
      <c r="F175" s="39">
        <f t="shared" si="71"/>
        <v>47.999999999999993</v>
      </c>
      <c r="G175" s="39">
        <f>K185</f>
        <v>4.4000000000000021</v>
      </c>
      <c r="H175" s="39">
        <f t="shared" ref="H175:I175" si="72">L185</f>
        <v>2.7999999999999989</v>
      </c>
      <c r="I175" s="39">
        <f t="shared" si="72"/>
        <v>6.8000000000000007</v>
      </c>
      <c r="J175" s="40">
        <f>I189</f>
        <v>463.99999999999989</v>
      </c>
      <c r="K175" s="4"/>
    </row>
    <row r="176" spans="2:11" x14ac:dyDescent="0.3">
      <c r="B176" s="4"/>
      <c r="C176" s="10" t="s">
        <v>38</v>
      </c>
      <c r="D176" s="41">
        <f>D170-D175</f>
        <v>0</v>
      </c>
      <c r="E176" s="41">
        <f t="shared" ref="E176:I176" si="73">E170-E175</f>
        <v>0</v>
      </c>
      <c r="F176" s="41">
        <f t="shared" si="73"/>
        <v>0</v>
      </c>
      <c r="G176" s="41">
        <f t="shared" si="73"/>
        <v>-4.4000000000000021</v>
      </c>
      <c r="H176" s="41">
        <f t="shared" si="73"/>
        <v>-2.7999999999999989</v>
      </c>
      <c r="I176" s="41">
        <f t="shared" si="73"/>
        <v>-6.8000000000000007</v>
      </c>
      <c r="J176" s="4"/>
      <c r="K176" s="4"/>
    </row>
    <row r="179" spans="2:13" x14ac:dyDescent="0.3">
      <c r="G179" s="25">
        <f>D172</f>
        <v>0</v>
      </c>
      <c r="H179" s="25">
        <f t="shared" ref="H179:I179" si="74">E172</f>
        <v>5.5511151231257827E-17</v>
      </c>
      <c r="I179" s="25">
        <f t="shared" si="74"/>
        <v>1</v>
      </c>
    </row>
    <row r="180" spans="2:13" ht="16.2" x14ac:dyDescent="0.3">
      <c r="B180" t="s">
        <v>69</v>
      </c>
      <c r="C180" t="s">
        <v>103</v>
      </c>
      <c r="D180" s="31">
        <f t="array" ref="D180:F180">TRANSPOSE(B172:B174)</f>
        <v>48</v>
      </c>
      <c r="E180" s="31">
        <v>24</v>
      </c>
      <c r="F180" s="31">
        <v>32</v>
      </c>
      <c r="G180" s="25">
        <f>D173</f>
        <v>0</v>
      </c>
      <c r="H180" s="25">
        <f>E173</f>
        <v>0.99999999999999978</v>
      </c>
      <c r="I180" s="25">
        <f>F173</f>
        <v>-5.5511151231257827E-17</v>
      </c>
      <c r="J180" t="s">
        <v>71</v>
      </c>
      <c r="K180" s="42">
        <f t="array" ref="K180:M180">MMULT(D180:F180,G179:I181)</f>
        <v>32</v>
      </c>
      <c r="L180" s="42">
        <v>23.999999999999996</v>
      </c>
      <c r="M180" s="42">
        <v>47.999999999999993</v>
      </c>
    </row>
    <row r="181" spans="2:13" x14ac:dyDescent="0.3">
      <c r="G181" s="25">
        <f>D174</f>
        <v>1</v>
      </c>
      <c r="H181" s="25">
        <f>E174</f>
        <v>0</v>
      </c>
      <c r="I181" s="25">
        <f>F174</f>
        <v>-2.2204460492503131E-16</v>
      </c>
    </row>
    <row r="184" spans="2:13" x14ac:dyDescent="0.3">
      <c r="G184" s="32">
        <f>G172</f>
        <v>0.4</v>
      </c>
      <c r="H184" s="32">
        <f t="shared" ref="H184:I184" si="75">H172</f>
        <v>-0.19999999999999998</v>
      </c>
      <c r="I184" s="32">
        <f t="shared" si="75"/>
        <v>-0.2</v>
      </c>
    </row>
    <row r="185" spans="2:13" ht="16.2" x14ac:dyDescent="0.3">
      <c r="C185" t="s">
        <v>104</v>
      </c>
      <c r="D185" s="31">
        <f>D180</f>
        <v>48</v>
      </c>
      <c r="E185" s="31">
        <f t="shared" ref="E185:F185" si="76">E180</f>
        <v>24</v>
      </c>
      <c r="F185" s="31">
        <f t="shared" si="76"/>
        <v>32</v>
      </c>
      <c r="G185" s="32">
        <f t="shared" ref="G185:I186" si="77">G173</f>
        <v>-0.15</v>
      </c>
      <c r="H185" s="32">
        <f t="shared" si="77"/>
        <v>0.44999999999999996</v>
      </c>
      <c r="I185" s="32">
        <f t="shared" si="77"/>
        <v>-4.9999999999999989E-2</v>
      </c>
      <c r="J185" t="s">
        <v>73</v>
      </c>
      <c r="K185" s="42">
        <f t="array" ref="K185:M185">MMULT(D185:F185,G184:I186)</f>
        <v>4.4000000000000021</v>
      </c>
      <c r="L185" s="42">
        <v>2.7999999999999989</v>
      </c>
      <c r="M185" s="42">
        <v>6.8000000000000007</v>
      </c>
    </row>
    <row r="186" spans="2:13" x14ac:dyDescent="0.3">
      <c r="G186" s="32">
        <f t="shared" si="77"/>
        <v>-0.35000000000000003</v>
      </c>
      <c r="H186" s="32">
        <f t="shared" si="77"/>
        <v>4.9999999999999989E-2</v>
      </c>
      <c r="I186" s="32">
        <f t="shared" si="77"/>
        <v>0.55000000000000004</v>
      </c>
    </row>
    <row r="188" spans="2:13" x14ac:dyDescent="0.3">
      <c r="G188" s="43">
        <f>J172</f>
        <v>4</v>
      </c>
    </row>
    <row r="189" spans="2:13" ht="16.2" x14ac:dyDescent="0.3">
      <c r="B189" t="s">
        <v>74</v>
      </c>
      <c r="C189" t="s">
        <v>105</v>
      </c>
      <c r="D189" s="33">
        <f>D185:F185</f>
        <v>48</v>
      </c>
      <c r="E189" s="33">
        <f t="shared" ref="E189:F189" si="78">E185:G185</f>
        <v>24</v>
      </c>
      <c r="F189" s="33">
        <f t="shared" si="78"/>
        <v>32</v>
      </c>
      <c r="G189" s="43">
        <f t="shared" ref="G189:G190" si="79">J173</f>
        <v>5.9999999999999982</v>
      </c>
      <c r="H189" t="s">
        <v>73</v>
      </c>
      <c r="I189" s="44">
        <f>MMULT(D189:F189,G188:G190)</f>
        <v>463.99999999999989</v>
      </c>
    </row>
    <row r="190" spans="2:13" x14ac:dyDescent="0.3">
      <c r="G190" s="43">
        <f t="shared" si="79"/>
        <v>3.9999999999999982</v>
      </c>
    </row>
  </sheetData>
  <pageMargins left="0.7" right="0.7" top="0.75" bottom="0.75" header="0.3" footer="0.3"/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45B4A-EF56-4840-937F-1251AB726DA3}">
  <dimension ref="B10:AM49"/>
  <sheetViews>
    <sheetView tabSelected="1" topLeftCell="U10" zoomScale="90" zoomScaleNormal="90" workbookViewId="0">
      <selection activeCell="O179" sqref="O179:O180"/>
    </sheetView>
  </sheetViews>
  <sheetFormatPr defaultRowHeight="14.4" x14ac:dyDescent="0.3"/>
  <cols>
    <col min="11" max="11" width="7" customWidth="1"/>
    <col min="22" max="22" width="13.109375" bestFit="1" customWidth="1"/>
  </cols>
  <sheetData>
    <row r="10" spans="2:39" x14ac:dyDescent="0.3">
      <c r="B10" t="s">
        <v>8</v>
      </c>
      <c r="C10" t="s">
        <v>106</v>
      </c>
      <c r="G10" t="s">
        <v>8</v>
      </c>
      <c r="H10" t="s">
        <v>107</v>
      </c>
      <c r="L10" s="5" t="s">
        <v>30</v>
      </c>
      <c r="M10" s="5" t="s">
        <v>108</v>
      </c>
      <c r="N10" s="5">
        <v>60</v>
      </c>
      <c r="O10" s="5">
        <v>30</v>
      </c>
      <c r="P10" s="5">
        <v>20</v>
      </c>
      <c r="Q10" s="6">
        <v>0</v>
      </c>
      <c r="R10" s="6">
        <v>0</v>
      </c>
      <c r="S10" s="6">
        <v>0</v>
      </c>
      <c r="T10" s="46"/>
      <c r="U10" s="46"/>
      <c r="X10" s="5" t="s">
        <v>30</v>
      </c>
      <c r="Y10" s="5" t="s">
        <v>108</v>
      </c>
      <c r="Z10" s="5">
        <v>60</v>
      </c>
      <c r="AA10" s="5">
        <v>30</v>
      </c>
      <c r="AB10" s="5">
        <v>20</v>
      </c>
      <c r="AC10" s="6">
        <v>0</v>
      </c>
      <c r="AD10" s="6">
        <v>0</v>
      </c>
      <c r="AE10" s="6">
        <v>0</v>
      </c>
      <c r="AF10" s="46"/>
      <c r="AG10" s="46"/>
    </row>
    <row r="11" spans="2:39" x14ac:dyDescent="0.3">
      <c r="L11" s="5" t="s">
        <v>109</v>
      </c>
      <c r="M11" s="5" t="s">
        <v>110</v>
      </c>
      <c r="N11" s="8" t="s">
        <v>1</v>
      </c>
      <c r="O11" s="8" t="s">
        <v>3</v>
      </c>
      <c r="P11" s="8" t="s">
        <v>5</v>
      </c>
      <c r="Q11" s="9" t="s">
        <v>18</v>
      </c>
      <c r="R11" s="9" t="s">
        <v>20</v>
      </c>
      <c r="S11" s="9" t="s">
        <v>22</v>
      </c>
      <c r="T11" s="10" t="s">
        <v>111</v>
      </c>
      <c r="U11" s="10" t="s">
        <v>112</v>
      </c>
      <c r="X11" s="5" t="s">
        <v>109</v>
      </c>
      <c r="Y11" s="5" t="s">
        <v>110</v>
      </c>
      <c r="Z11" s="8" t="s">
        <v>1</v>
      </c>
      <c r="AA11" s="8" t="s">
        <v>3</v>
      </c>
      <c r="AB11" s="8" t="s">
        <v>5</v>
      </c>
      <c r="AC11" s="9" t="s">
        <v>18</v>
      </c>
      <c r="AD11" s="9" t="s">
        <v>20</v>
      </c>
      <c r="AE11" s="9" t="s">
        <v>22</v>
      </c>
      <c r="AF11" s="10" t="s">
        <v>111</v>
      </c>
      <c r="AG11" s="10" t="s">
        <v>112</v>
      </c>
      <c r="AK11" s="47" t="s">
        <v>18</v>
      </c>
      <c r="AL11" s="47" t="s">
        <v>20</v>
      </c>
      <c r="AM11" s="48" t="s">
        <v>1</v>
      </c>
    </row>
    <row r="12" spans="2:39" x14ac:dyDescent="0.3">
      <c r="B12" t="s">
        <v>10</v>
      </c>
      <c r="C12" t="s">
        <v>113</v>
      </c>
      <c r="G12" t="s">
        <v>10</v>
      </c>
      <c r="H12" t="s">
        <v>114</v>
      </c>
      <c r="L12" s="6">
        <v>0</v>
      </c>
      <c r="M12" s="6" t="s">
        <v>18</v>
      </c>
      <c r="N12" s="5">
        <v>8</v>
      </c>
      <c r="O12" s="5">
        <v>6</v>
      </c>
      <c r="P12" s="5">
        <v>1</v>
      </c>
      <c r="Q12" s="6">
        <v>1</v>
      </c>
      <c r="R12" s="6">
        <v>0</v>
      </c>
      <c r="S12" s="6">
        <v>0</v>
      </c>
      <c r="T12" s="5">
        <v>960</v>
      </c>
      <c r="U12" s="5"/>
      <c r="X12" s="6">
        <v>0</v>
      </c>
      <c r="Y12" s="6" t="s">
        <v>18</v>
      </c>
      <c r="Z12" s="13">
        <v>8</v>
      </c>
      <c r="AA12" s="13">
        <v>6</v>
      </c>
      <c r="AB12" s="13">
        <v>1</v>
      </c>
      <c r="AC12" s="14">
        <v>1</v>
      </c>
      <c r="AD12" s="14">
        <v>0</v>
      </c>
      <c r="AE12" s="14">
        <v>0</v>
      </c>
      <c r="AF12" s="15">
        <v>960</v>
      </c>
      <c r="AG12" s="5">
        <f>AF12/Z12</f>
        <v>120</v>
      </c>
      <c r="AK12" s="35">
        <f>AC12</f>
        <v>1</v>
      </c>
      <c r="AL12" s="35">
        <f>AD12</f>
        <v>0</v>
      </c>
      <c r="AM12" s="23">
        <f>Z12</f>
        <v>8</v>
      </c>
    </row>
    <row r="13" spans="2:39" x14ac:dyDescent="0.3">
      <c r="B13" t="s">
        <v>12</v>
      </c>
      <c r="C13" t="s">
        <v>115</v>
      </c>
      <c r="G13" t="s">
        <v>12</v>
      </c>
      <c r="H13" t="s">
        <v>116</v>
      </c>
      <c r="L13" s="6">
        <v>0</v>
      </c>
      <c r="M13" s="6" t="s">
        <v>20</v>
      </c>
      <c r="N13" s="5">
        <v>8</v>
      </c>
      <c r="O13" s="5">
        <v>4</v>
      </c>
      <c r="P13" s="5">
        <v>3</v>
      </c>
      <c r="Q13" s="6">
        <v>0</v>
      </c>
      <c r="R13" s="6">
        <v>1</v>
      </c>
      <c r="S13" s="6">
        <v>0</v>
      </c>
      <c r="T13" s="5">
        <v>800</v>
      </c>
      <c r="U13" s="5"/>
      <c r="X13" s="6">
        <v>0</v>
      </c>
      <c r="Y13" s="6" t="s">
        <v>20</v>
      </c>
      <c r="Z13" s="13">
        <v>8</v>
      </c>
      <c r="AA13" s="13">
        <v>4</v>
      </c>
      <c r="AB13" s="13">
        <v>3</v>
      </c>
      <c r="AC13" s="14">
        <v>0</v>
      </c>
      <c r="AD13" s="14">
        <v>1</v>
      </c>
      <c r="AE13" s="14">
        <v>0</v>
      </c>
      <c r="AF13" s="15">
        <v>800</v>
      </c>
      <c r="AG13" s="5">
        <f t="shared" ref="AG13:AG14" si="0">AF13/Z13</f>
        <v>100</v>
      </c>
      <c r="AJ13" t="s">
        <v>58</v>
      </c>
      <c r="AK13" s="35">
        <f t="shared" ref="AK13:AL14" si="1">AC13</f>
        <v>0</v>
      </c>
      <c r="AL13" s="35">
        <f t="shared" si="1"/>
        <v>1</v>
      </c>
      <c r="AM13" s="23">
        <f t="shared" ref="AM13:AM14" si="2">Z13</f>
        <v>8</v>
      </c>
    </row>
    <row r="14" spans="2:39" x14ac:dyDescent="0.3">
      <c r="B14" t="s">
        <v>117</v>
      </c>
      <c r="C14" t="s">
        <v>118</v>
      </c>
      <c r="G14" t="s">
        <v>117</v>
      </c>
      <c r="H14" t="s">
        <v>119</v>
      </c>
      <c r="L14" s="6">
        <v>0</v>
      </c>
      <c r="M14" s="6" t="s">
        <v>22</v>
      </c>
      <c r="N14" s="5">
        <v>4</v>
      </c>
      <c r="O14" s="5">
        <v>3</v>
      </c>
      <c r="P14" s="5">
        <v>1</v>
      </c>
      <c r="Q14" s="6">
        <v>0</v>
      </c>
      <c r="R14" s="6">
        <v>0</v>
      </c>
      <c r="S14" s="6">
        <v>1</v>
      </c>
      <c r="T14" s="5">
        <v>320</v>
      </c>
      <c r="U14" s="5"/>
      <c r="V14" t="s">
        <v>120</v>
      </c>
      <c r="X14" s="6">
        <v>0</v>
      </c>
      <c r="Y14" s="6" t="s">
        <v>22</v>
      </c>
      <c r="Z14" s="13">
        <v>4</v>
      </c>
      <c r="AA14" s="13">
        <v>3</v>
      </c>
      <c r="AB14" s="13">
        <v>1</v>
      </c>
      <c r="AC14" s="14">
        <v>0</v>
      </c>
      <c r="AD14" s="14">
        <v>0</v>
      </c>
      <c r="AE14" s="14">
        <v>1</v>
      </c>
      <c r="AF14" s="15">
        <v>320</v>
      </c>
      <c r="AG14" s="5">
        <f t="shared" si="0"/>
        <v>80</v>
      </c>
      <c r="AH14" t="s">
        <v>67</v>
      </c>
      <c r="AK14" s="35">
        <f t="shared" si="1"/>
        <v>0</v>
      </c>
      <c r="AL14" s="35">
        <f t="shared" si="1"/>
        <v>0</v>
      </c>
      <c r="AM14" s="23">
        <f t="shared" si="2"/>
        <v>4</v>
      </c>
    </row>
    <row r="15" spans="2:39" x14ac:dyDescent="0.3">
      <c r="L15" s="46"/>
      <c r="M15" s="10" t="s">
        <v>121</v>
      </c>
      <c r="N15" s="5">
        <f>SUMPRODUCT($L$12:$L$14,N12:N14)</f>
        <v>0</v>
      </c>
      <c r="O15" s="5">
        <f t="shared" ref="O15:T15" si="3">SUMPRODUCT($L$12:$L$14,O12:O14)</f>
        <v>0</v>
      </c>
      <c r="P15" s="5">
        <f t="shared" si="3"/>
        <v>0</v>
      </c>
      <c r="Q15" s="5">
        <f t="shared" si="3"/>
        <v>0</v>
      </c>
      <c r="R15" s="5">
        <f t="shared" si="3"/>
        <v>0</v>
      </c>
      <c r="S15" s="5">
        <f t="shared" si="3"/>
        <v>0</v>
      </c>
      <c r="T15" s="29">
        <f t="shared" si="3"/>
        <v>0</v>
      </c>
      <c r="U15" s="46"/>
      <c r="X15" s="46"/>
      <c r="Y15" s="10" t="s">
        <v>121</v>
      </c>
      <c r="Z15" s="49">
        <f>SUMPRODUCT($L$12:$L$14,Z12:Z14)</f>
        <v>0</v>
      </c>
      <c r="AA15" s="49">
        <f t="shared" ref="AA15:AF15" si="4">SUMPRODUCT($L$12:$L$14,AA12:AA14)</f>
        <v>0</v>
      </c>
      <c r="AB15" s="49">
        <f t="shared" si="4"/>
        <v>0</v>
      </c>
      <c r="AC15" s="49">
        <f t="shared" si="4"/>
        <v>0</v>
      </c>
      <c r="AD15" s="49">
        <f t="shared" si="4"/>
        <v>0</v>
      </c>
      <c r="AE15" s="49">
        <f t="shared" si="4"/>
        <v>0</v>
      </c>
      <c r="AF15" s="50">
        <f t="shared" si="4"/>
        <v>0</v>
      </c>
      <c r="AG15" s="46"/>
    </row>
    <row r="16" spans="2:39" x14ac:dyDescent="0.3">
      <c r="B16" t="s">
        <v>15</v>
      </c>
      <c r="C16" t="s">
        <v>16</v>
      </c>
      <c r="G16" t="s">
        <v>15</v>
      </c>
      <c r="H16" t="s">
        <v>29</v>
      </c>
      <c r="L16" s="46"/>
      <c r="M16" s="10" t="s">
        <v>122</v>
      </c>
      <c r="N16" s="5">
        <f>N10-N15</f>
        <v>60</v>
      </c>
      <c r="O16" s="5">
        <f t="shared" ref="O16:S16" si="5">O10-O15</f>
        <v>30</v>
      </c>
      <c r="P16" s="5">
        <f t="shared" si="5"/>
        <v>20</v>
      </c>
      <c r="Q16" s="5">
        <f t="shared" si="5"/>
        <v>0</v>
      </c>
      <c r="R16" s="5">
        <f t="shared" si="5"/>
        <v>0</v>
      </c>
      <c r="S16" s="5">
        <f t="shared" si="5"/>
        <v>0</v>
      </c>
      <c r="T16" s="46"/>
      <c r="U16" s="46"/>
      <c r="X16" s="46"/>
      <c r="Y16" s="10" t="s">
        <v>122</v>
      </c>
      <c r="Z16" s="5">
        <f>Z10-Z15</f>
        <v>60</v>
      </c>
      <c r="AA16" s="5">
        <f t="shared" ref="AA16:AE16" si="6">AA10-AA15</f>
        <v>30</v>
      </c>
      <c r="AB16" s="5">
        <f t="shared" si="6"/>
        <v>20</v>
      </c>
      <c r="AC16" s="5">
        <f t="shared" si="6"/>
        <v>0</v>
      </c>
      <c r="AD16" s="5">
        <f t="shared" si="6"/>
        <v>0</v>
      </c>
      <c r="AE16" s="5">
        <f t="shared" si="6"/>
        <v>0</v>
      </c>
      <c r="AF16" s="46"/>
      <c r="AG16" s="46"/>
    </row>
    <row r="17" spans="11:39" x14ac:dyDescent="0.3">
      <c r="N17" t="s">
        <v>123</v>
      </c>
      <c r="Z17" s="48" t="s">
        <v>68</v>
      </c>
    </row>
    <row r="21" spans="11:39" x14ac:dyDescent="0.3">
      <c r="L21" s="5" t="s">
        <v>66</v>
      </c>
      <c r="M21" s="5" t="s">
        <v>108</v>
      </c>
      <c r="N21" s="5">
        <v>60</v>
      </c>
      <c r="O21" s="5">
        <v>30</v>
      </c>
      <c r="P21" s="13">
        <v>20</v>
      </c>
      <c r="Q21" s="6">
        <v>0</v>
      </c>
      <c r="R21" s="6">
        <v>0</v>
      </c>
      <c r="S21" s="6">
        <v>0</v>
      </c>
      <c r="T21" s="46"/>
      <c r="U21" s="46"/>
      <c r="X21" s="5" t="s">
        <v>66</v>
      </c>
      <c r="Y21" s="5" t="s">
        <v>108</v>
      </c>
      <c r="Z21" s="5">
        <v>60</v>
      </c>
      <c r="AA21" s="5">
        <v>30</v>
      </c>
      <c r="AB21" s="5">
        <v>20</v>
      </c>
      <c r="AC21" s="6">
        <v>0</v>
      </c>
      <c r="AD21" s="6">
        <v>0</v>
      </c>
      <c r="AE21" s="6">
        <v>0</v>
      </c>
      <c r="AF21" s="46"/>
      <c r="AG21" s="46"/>
    </row>
    <row r="22" spans="11:39" x14ac:dyDescent="0.3">
      <c r="L22" s="5" t="s">
        <v>109</v>
      </c>
      <c r="M22" s="5" t="s">
        <v>110</v>
      </c>
      <c r="N22" s="8" t="s">
        <v>1</v>
      </c>
      <c r="O22" s="8" t="s">
        <v>3</v>
      </c>
      <c r="P22" s="51" t="s">
        <v>5</v>
      </c>
      <c r="Q22" s="9" t="s">
        <v>18</v>
      </c>
      <c r="R22" s="9" t="s">
        <v>20</v>
      </c>
      <c r="S22" s="9" t="s">
        <v>22</v>
      </c>
      <c r="T22" s="10" t="s">
        <v>111</v>
      </c>
      <c r="U22" s="10" t="s">
        <v>112</v>
      </c>
      <c r="X22" s="5" t="s">
        <v>109</v>
      </c>
      <c r="Y22" s="5" t="s">
        <v>110</v>
      </c>
      <c r="Z22" s="8" t="s">
        <v>1</v>
      </c>
      <c r="AA22" s="8" t="s">
        <v>3</v>
      </c>
      <c r="AB22" s="8" t="s">
        <v>5</v>
      </c>
      <c r="AC22" s="9" t="s">
        <v>18</v>
      </c>
      <c r="AD22" s="9" t="s">
        <v>20</v>
      </c>
      <c r="AE22" s="9" t="s">
        <v>22</v>
      </c>
      <c r="AF22" s="10" t="s">
        <v>111</v>
      </c>
      <c r="AG22" s="10" t="s">
        <v>112</v>
      </c>
      <c r="AK22" t="s">
        <v>18</v>
      </c>
      <c r="AL22" t="s">
        <v>5</v>
      </c>
      <c r="AM22" t="s">
        <v>1</v>
      </c>
    </row>
    <row r="23" spans="11:39" x14ac:dyDescent="0.3">
      <c r="L23" s="6">
        <v>0</v>
      </c>
      <c r="M23" s="6" t="s">
        <v>18</v>
      </c>
      <c r="N23" s="5">
        <f>N12-$N$12*N25</f>
        <v>0</v>
      </c>
      <c r="O23" s="5">
        <f t="shared" ref="O23:T23" si="7">O12-$N$12*O25</f>
        <v>0</v>
      </c>
      <c r="P23" s="13">
        <f t="shared" si="7"/>
        <v>-1</v>
      </c>
      <c r="Q23" s="5">
        <f t="shared" si="7"/>
        <v>1</v>
      </c>
      <c r="R23" s="5">
        <f t="shared" si="7"/>
        <v>0</v>
      </c>
      <c r="S23" s="5">
        <f t="shared" si="7"/>
        <v>-2</v>
      </c>
      <c r="T23" s="5">
        <f t="shared" si="7"/>
        <v>320</v>
      </c>
      <c r="U23" s="5">
        <f>T23/P23</f>
        <v>-320</v>
      </c>
      <c r="X23" s="6">
        <v>0</v>
      </c>
      <c r="Y23" s="6" t="s">
        <v>18</v>
      </c>
      <c r="Z23" s="13">
        <f t="array" ref="Z23:AB25">MMULT(AC23:AE25,Z12:AB14)</f>
        <v>0</v>
      </c>
      <c r="AA23" s="13">
        <v>0</v>
      </c>
      <c r="AB23" s="13">
        <v>-1</v>
      </c>
      <c r="AC23" s="14">
        <f t="array" ref="AC23:AE25">MINVERSE(AK12:AM14)</f>
        <v>1</v>
      </c>
      <c r="AD23" s="14">
        <v>0</v>
      </c>
      <c r="AE23" s="14">
        <v>-2</v>
      </c>
      <c r="AF23" s="15">
        <f t="array" ref="AF23:AF25">MMULT(AC23:AE25,AF12:AF14)</f>
        <v>320</v>
      </c>
      <c r="AG23" s="5">
        <f>AF23/AB23</f>
        <v>-320</v>
      </c>
      <c r="AK23" s="35">
        <f>AC12</f>
        <v>1</v>
      </c>
      <c r="AL23" s="23">
        <f>AB12</f>
        <v>1</v>
      </c>
      <c r="AM23" s="23">
        <f>Z12</f>
        <v>8</v>
      </c>
    </row>
    <row r="24" spans="11:39" x14ac:dyDescent="0.3">
      <c r="L24" s="52">
        <v>0</v>
      </c>
      <c r="M24" s="52" t="s">
        <v>20</v>
      </c>
      <c r="N24" s="13">
        <f>N13-$N$13*N25</f>
        <v>0</v>
      </c>
      <c r="O24" s="13">
        <f t="shared" ref="O24:T24" si="8">O13-$N$13*O25</f>
        <v>-2</v>
      </c>
      <c r="P24" s="53">
        <f t="shared" si="8"/>
        <v>1</v>
      </c>
      <c r="Q24" s="13">
        <f t="shared" si="8"/>
        <v>0</v>
      </c>
      <c r="R24" s="13">
        <f t="shared" si="8"/>
        <v>1</v>
      </c>
      <c r="S24" s="13">
        <f t="shared" si="8"/>
        <v>-2</v>
      </c>
      <c r="T24" s="13">
        <f t="shared" si="8"/>
        <v>160</v>
      </c>
      <c r="U24" s="13">
        <f t="shared" ref="U24:U25" si="9">T24/P24</f>
        <v>160</v>
      </c>
      <c r="V24" t="s">
        <v>124</v>
      </c>
      <c r="W24" t="s">
        <v>125</v>
      </c>
      <c r="X24" s="6">
        <v>0</v>
      </c>
      <c r="Y24" s="6" t="s">
        <v>20</v>
      </c>
      <c r="Z24" s="13">
        <v>0</v>
      </c>
      <c r="AA24" s="13">
        <v>-2</v>
      </c>
      <c r="AB24" s="13">
        <v>1</v>
      </c>
      <c r="AC24" s="14">
        <v>0</v>
      </c>
      <c r="AD24" s="14">
        <v>1</v>
      </c>
      <c r="AE24" s="14">
        <v>-2</v>
      </c>
      <c r="AF24" s="15">
        <v>160</v>
      </c>
      <c r="AG24" s="5">
        <f t="shared" ref="AG24:AG25" si="10">AF24/AB24</f>
        <v>160</v>
      </c>
      <c r="AH24" t="s">
        <v>67</v>
      </c>
      <c r="AJ24" t="s">
        <v>79</v>
      </c>
      <c r="AK24" s="35">
        <f t="shared" ref="AK24:AK25" si="11">AC13</f>
        <v>0</v>
      </c>
      <c r="AL24" s="23">
        <f t="shared" ref="AL24:AL25" si="12">AB13</f>
        <v>3</v>
      </c>
      <c r="AM24" s="23">
        <f t="shared" ref="AM24:AM25" si="13">Z13</f>
        <v>8</v>
      </c>
    </row>
    <row r="25" spans="11:39" x14ac:dyDescent="0.3">
      <c r="K25" t="s">
        <v>126</v>
      </c>
      <c r="L25" s="54">
        <f>N10</f>
        <v>60</v>
      </c>
      <c r="M25" s="54" t="str">
        <f>N11</f>
        <v>X1</v>
      </c>
      <c r="N25" s="5">
        <f>N14/$N$14</f>
        <v>1</v>
      </c>
      <c r="O25" s="5">
        <f t="shared" ref="O25:T25" si="14">O14/$N$14</f>
        <v>0.75</v>
      </c>
      <c r="P25" s="13">
        <f t="shared" si="14"/>
        <v>0.25</v>
      </c>
      <c r="Q25" s="5">
        <f t="shared" si="14"/>
        <v>0</v>
      </c>
      <c r="R25" s="5">
        <f t="shared" si="14"/>
        <v>0</v>
      </c>
      <c r="S25" s="5">
        <f t="shared" si="14"/>
        <v>0.25</v>
      </c>
      <c r="T25" s="5">
        <f t="shared" si="14"/>
        <v>80</v>
      </c>
      <c r="U25" s="5">
        <f t="shared" si="9"/>
        <v>320</v>
      </c>
      <c r="X25" s="10">
        <f>Z21</f>
        <v>60</v>
      </c>
      <c r="Y25" s="10" t="s">
        <v>1</v>
      </c>
      <c r="Z25" s="13">
        <v>1</v>
      </c>
      <c r="AA25" s="13">
        <v>0.75</v>
      </c>
      <c r="AB25" s="13">
        <v>0.25</v>
      </c>
      <c r="AC25" s="14">
        <v>0</v>
      </c>
      <c r="AD25" s="14">
        <v>0</v>
      </c>
      <c r="AE25" s="14">
        <v>0.25</v>
      </c>
      <c r="AF25" s="15">
        <v>80</v>
      </c>
      <c r="AG25" s="5">
        <f t="shared" si="10"/>
        <v>320</v>
      </c>
      <c r="AK25" s="35">
        <f t="shared" si="11"/>
        <v>0</v>
      </c>
      <c r="AL25" s="23">
        <f t="shared" si="12"/>
        <v>1</v>
      </c>
      <c r="AM25" s="23">
        <f t="shared" si="13"/>
        <v>4</v>
      </c>
    </row>
    <row r="26" spans="11:39" x14ac:dyDescent="0.3">
      <c r="L26" s="46"/>
      <c r="M26" s="10" t="s">
        <v>121</v>
      </c>
      <c r="N26" s="5">
        <f>SUMPRODUCT($L$23:$L$25,N23:N25)</f>
        <v>60</v>
      </c>
      <c r="O26" s="5">
        <f t="shared" ref="O26:T26" si="15">SUMPRODUCT($L$23:$L$25,O23:O25)</f>
        <v>45</v>
      </c>
      <c r="P26" s="13">
        <f t="shared" si="15"/>
        <v>15</v>
      </c>
      <c r="Q26" s="5">
        <f t="shared" si="15"/>
        <v>0</v>
      </c>
      <c r="R26" s="5">
        <f t="shared" si="15"/>
        <v>0</v>
      </c>
      <c r="S26" s="5">
        <f t="shared" si="15"/>
        <v>15</v>
      </c>
      <c r="T26" s="29">
        <f t="shared" si="15"/>
        <v>4800</v>
      </c>
      <c r="U26" s="46"/>
      <c r="X26" s="46"/>
      <c r="Y26" s="10" t="s">
        <v>121</v>
      </c>
      <c r="Z26" s="49">
        <f>SUMPRODUCT($X$23:$X$25,Z23:Z25)</f>
        <v>60</v>
      </c>
      <c r="AA26" s="49">
        <f t="shared" ref="AA26:AF26" si="16">SUMPRODUCT($X$23:$X$25,AA23:AA25)</f>
        <v>45</v>
      </c>
      <c r="AB26" s="49">
        <f t="shared" si="16"/>
        <v>15</v>
      </c>
      <c r="AC26" s="49">
        <f t="shared" si="16"/>
        <v>0</v>
      </c>
      <c r="AD26" s="49">
        <f t="shared" si="16"/>
        <v>0</v>
      </c>
      <c r="AE26" s="49">
        <f t="shared" si="16"/>
        <v>15</v>
      </c>
      <c r="AF26" s="50">
        <f t="shared" si="16"/>
        <v>4800</v>
      </c>
      <c r="AG26" s="46"/>
    </row>
    <row r="27" spans="11:39" x14ac:dyDescent="0.3">
      <c r="L27" s="46"/>
      <c r="M27" s="10" t="s">
        <v>122</v>
      </c>
      <c r="N27" s="5">
        <f>N21-N26</f>
        <v>0</v>
      </c>
      <c r="O27" s="5">
        <f t="shared" ref="O27:S27" si="17">O21-O26</f>
        <v>-15</v>
      </c>
      <c r="P27" s="13">
        <f t="shared" si="17"/>
        <v>5</v>
      </c>
      <c r="Q27" s="5">
        <f t="shared" si="17"/>
        <v>0</v>
      </c>
      <c r="R27" s="5">
        <f t="shared" si="17"/>
        <v>0</v>
      </c>
      <c r="S27" s="5">
        <f t="shared" si="17"/>
        <v>-15</v>
      </c>
      <c r="T27" s="46"/>
      <c r="U27" s="46"/>
      <c r="X27" s="46"/>
      <c r="Y27" s="10" t="s">
        <v>122</v>
      </c>
      <c r="Z27" s="5">
        <f>Z21-Z26</f>
        <v>0</v>
      </c>
      <c r="AA27" s="5">
        <f t="shared" ref="AA27:AE27" si="18">AA21-AA26</f>
        <v>-15</v>
      </c>
      <c r="AB27" s="5">
        <f t="shared" si="18"/>
        <v>5</v>
      </c>
      <c r="AC27" s="5">
        <f t="shared" si="18"/>
        <v>0</v>
      </c>
      <c r="AD27" s="5">
        <f t="shared" si="18"/>
        <v>0</v>
      </c>
      <c r="AE27" s="5">
        <f t="shared" si="18"/>
        <v>-15</v>
      </c>
      <c r="AF27" s="46"/>
      <c r="AG27" s="46"/>
    </row>
    <row r="28" spans="11:39" x14ac:dyDescent="0.3">
      <c r="P28" t="s">
        <v>127</v>
      </c>
      <c r="AB28" s="48" t="s">
        <v>68</v>
      </c>
    </row>
    <row r="29" spans="11:39" x14ac:dyDescent="0.3">
      <c r="P29" t="s">
        <v>128</v>
      </c>
    </row>
    <row r="31" spans="11:39" x14ac:dyDescent="0.3">
      <c r="L31" s="5" t="s">
        <v>87</v>
      </c>
      <c r="M31" s="5" t="s">
        <v>108</v>
      </c>
      <c r="N31" s="5">
        <v>60</v>
      </c>
      <c r="O31" s="5">
        <v>30</v>
      </c>
      <c r="P31" s="5">
        <v>20</v>
      </c>
      <c r="Q31" s="6">
        <v>0</v>
      </c>
      <c r="R31" s="6">
        <v>0</v>
      </c>
      <c r="S31" s="6">
        <v>0</v>
      </c>
      <c r="T31" s="46"/>
      <c r="U31" s="4"/>
      <c r="X31" s="5" t="s">
        <v>87</v>
      </c>
      <c r="Y31" s="5" t="s">
        <v>108</v>
      </c>
      <c r="Z31" s="5">
        <v>60</v>
      </c>
      <c r="AA31" s="5">
        <v>30</v>
      </c>
      <c r="AB31" s="5">
        <v>20</v>
      </c>
      <c r="AC31" s="6">
        <v>0</v>
      </c>
      <c r="AD31" s="6">
        <v>0</v>
      </c>
      <c r="AE31" s="6">
        <v>0</v>
      </c>
      <c r="AF31" s="46"/>
      <c r="AG31" s="46"/>
    </row>
    <row r="32" spans="11:39" x14ac:dyDescent="0.3">
      <c r="L32" s="5" t="s">
        <v>109</v>
      </c>
      <c r="M32" s="5" t="s">
        <v>110</v>
      </c>
      <c r="N32" s="8" t="s">
        <v>1</v>
      </c>
      <c r="O32" s="8" t="s">
        <v>3</v>
      </c>
      <c r="P32" s="8" t="s">
        <v>5</v>
      </c>
      <c r="Q32" s="9" t="s">
        <v>18</v>
      </c>
      <c r="R32" s="9" t="s">
        <v>20</v>
      </c>
      <c r="S32" s="9" t="s">
        <v>22</v>
      </c>
      <c r="T32" s="10" t="s">
        <v>111</v>
      </c>
      <c r="U32" s="55" t="s">
        <v>112</v>
      </c>
      <c r="X32" s="5" t="s">
        <v>109</v>
      </c>
      <c r="Y32" s="5" t="s">
        <v>110</v>
      </c>
      <c r="Z32" s="8" t="s">
        <v>1</v>
      </c>
      <c r="AA32" s="8" t="s">
        <v>3</v>
      </c>
      <c r="AB32" s="8" t="s">
        <v>5</v>
      </c>
      <c r="AC32" s="9" t="s">
        <v>18</v>
      </c>
      <c r="AD32" s="9" t="s">
        <v>20</v>
      </c>
      <c r="AE32" s="9" t="s">
        <v>22</v>
      </c>
      <c r="AF32" s="10" t="s">
        <v>111</v>
      </c>
      <c r="AG32" s="10" t="s">
        <v>112</v>
      </c>
    </row>
    <row r="33" spans="11:33" x14ac:dyDescent="0.3">
      <c r="L33" s="6">
        <v>0</v>
      </c>
      <c r="M33" s="56" t="s">
        <v>18</v>
      </c>
      <c r="N33" s="5">
        <f>N23-$P$23*N34</f>
        <v>0</v>
      </c>
      <c r="O33" s="5">
        <f t="shared" ref="O33:T33" si="19">O23-$P$23*O34</f>
        <v>-2</v>
      </c>
      <c r="P33" s="5">
        <f t="shared" si="19"/>
        <v>0</v>
      </c>
      <c r="Q33" s="5">
        <f t="shared" si="19"/>
        <v>1</v>
      </c>
      <c r="R33" s="5">
        <f t="shared" si="19"/>
        <v>1</v>
      </c>
      <c r="S33" s="5">
        <f t="shared" si="19"/>
        <v>-4</v>
      </c>
      <c r="T33" s="15">
        <f t="shared" si="19"/>
        <v>480</v>
      </c>
      <c r="U33" s="57"/>
      <c r="X33" s="6">
        <v>0</v>
      </c>
      <c r="Y33" s="6" t="s">
        <v>18</v>
      </c>
      <c r="Z33" s="27">
        <f t="array" ref="Z33:AB35">MMULT(AC33:AE35,Z12:AB14)</f>
        <v>0</v>
      </c>
      <c r="AA33" s="27">
        <v>-1.9999999999999982</v>
      </c>
      <c r="AB33" s="27">
        <v>0</v>
      </c>
      <c r="AC33" s="28">
        <f t="array" ref="AC33:AE35">MINVERSE(AK23:AM25)</f>
        <v>1</v>
      </c>
      <c r="AD33" s="28">
        <v>0.99999999999999967</v>
      </c>
      <c r="AE33" s="28">
        <v>-3.9999999999999991</v>
      </c>
      <c r="AF33" s="38">
        <f t="array" ref="AF33:AF35">MMULT(AC33:AE35,AF12:AF14)</f>
        <v>480</v>
      </c>
      <c r="AG33" s="5"/>
    </row>
    <row r="34" spans="11:33" x14ac:dyDescent="0.3">
      <c r="K34" t="s">
        <v>126</v>
      </c>
      <c r="L34" s="54">
        <f>P31</f>
        <v>20</v>
      </c>
      <c r="M34" s="58" t="str">
        <f>P32</f>
        <v>X3</v>
      </c>
      <c r="N34" s="5">
        <f>N24/$P$24</f>
        <v>0</v>
      </c>
      <c r="O34" s="5">
        <f t="shared" ref="O34:T34" si="20">O24/$P$24</f>
        <v>-2</v>
      </c>
      <c r="P34" s="5">
        <f t="shared" si="20"/>
        <v>1</v>
      </c>
      <c r="Q34" s="5">
        <f t="shared" si="20"/>
        <v>0</v>
      </c>
      <c r="R34" s="5">
        <f t="shared" si="20"/>
        <v>1</v>
      </c>
      <c r="S34" s="5">
        <f t="shared" si="20"/>
        <v>-2</v>
      </c>
      <c r="T34" s="15">
        <f t="shared" si="20"/>
        <v>160</v>
      </c>
      <c r="U34" s="57"/>
      <c r="X34" s="10">
        <f>AB31</f>
        <v>20</v>
      </c>
      <c r="Y34" s="10" t="s">
        <v>5</v>
      </c>
      <c r="Z34" s="27">
        <v>0</v>
      </c>
      <c r="AA34" s="27">
        <v>-1.9999999999999996</v>
      </c>
      <c r="AB34" s="27">
        <v>0.99999999999999978</v>
      </c>
      <c r="AC34" s="28">
        <v>0</v>
      </c>
      <c r="AD34" s="28">
        <v>0.99999999999999989</v>
      </c>
      <c r="AE34" s="28">
        <v>-1.9999999999999998</v>
      </c>
      <c r="AF34" s="38">
        <v>160</v>
      </c>
      <c r="AG34" s="5"/>
    </row>
    <row r="35" spans="11:33" x14ac:dyDescent="0.3">
      <c r="L35" s="10">
        <f>N21</f>
        <v>60</v>
      </c>
      <c r="M35" s="58" t="str">
        <f>N22</f>
        <v>X1</v>
      </c>
      <c r="N35" s="5">
        <f>N25-$P$25*N34</f>
        <v>1</v>
      </c>
      <c r="O35" s="5">
        <f t="shared" ref="O35:T35" si="21">O25-$P$25*O34</f>
        <v>1.25</v>
      </c>
      <c r="P35" s="5">
        <f t="shared" si="21"/>
        <v>0</v>
      </c>
      <c r="Q35" s="5">
        <f t="shared" si="21"/>
        <v>0</v>
      </c>
      <c r="R35" s="5">
        <f t="shared" si="21"/>
        <v>-0.25</v>
      </c>
      <c r="S35" s="5">
        <f t="shared" si="21"/>
        <v>0.75</v>
      </c>
      <c r="T35" s="15">
        <f t="shared" si="21"/>
        <v>40</v>
      </c>
      <c r="U35" s="57"/>
      <c r="X35" s="10">
        <f>Z31</f>
        <v>60</v>
      </c>
      <c r="Y35" s="10" t="s">
        <v>1</v>
      </c>
      <c r="Z35" s="27">
        <v>1</v>
      </c>
      <c r="AA35" s="27">
        <v>1.2499999999999998</v>
      </c>
      <c r="AB35" s="27">
        <v>1.1102230246251565E-16</v>
      </c>
      <c r="AC35" s="28">
        <v>0</v>
      </c>
      <c r="AD35" s="28">
        <v>-0.24999999999999994</v>
      </c>
      <c r="AE35" s="28">
        <v>0.74999999999999989</v>
      </c>
      <c r="AF35" s="38">
        <v>40.000000000000028</v>
      </c>
      <c r="AG35" s="5"/>
    </row>
    <row r="36" spans="11:33" x14ac:dyDescent="0.3">
      <c r="L36" s="46"/>
      <c r="M36" s="10" t="s">
        <v>121</v>
      </c>
      <c r="N36" s="5">
        <f>SUMPRODUCT($L$33:$L$35,N33:N35)</f>
        <v>60</v>
      </c>
      <c r="O36" s="5">
        <f t="shared" ref="O36:T36" si="22">SUMPRODUCT($L$33:$L$35,O33:O35)</f>
        <v>35</v>
      </c>
      <c r="P36" s="5">
        <f t="shared" si="22"/>
        <v>20</v>
      </c>
      <c r="Q36" s="5">
        <f t="shared" si="22"/>
        <v>0</v>
      </c>
      <c r="R36" s="5">
        <f t="shared" si="22"/>
        <v>5</v>
      </c>
      <c r="S36" s="5">
        <f t="shared" si="22"/>
        <v>5</v>
      </c>
      <c r="T36" s="29">
        <f t="shared" si="22"/>
        <v>5600</v>
      </c>
      <c r="U36" s="4"/>
      <c r="X36" s="46"/>
      <c r="Y36" s="10" t="s">
        <v>121</v>
      </c>
      <c r="Z36" s="49">
        <f>SUMPRODUCT($X$33:$X$35,Z33:Z35)</f>
        <v>60</v>
      </c>
      <c r="AA36" s="49">
        <f t="shared" ref="AA36:AF36" si="23">SUMPRODUCT($X$33:$X$35,AA33:AA35)</f>
        <v>34.999999999999993</v>
      </c>
      <c r="AB36" s="49">
        <f t="shared" si="23"/>
        <v>20.000000000000004</v>
      </c>
      <c r="AC36" s="49">
        <f t="shared" si="23"/>
        <v>0</v>
      </c>
      <c r="AD36" s="49">
        <f t="shared" si="23"/>
        <v>5</v>
      </c>
      <c r="AE36" s="49">
        <f t="shared" si="23"/>
        <v>5</v>
      </c>
      <c r="AF36" s="50">
        <f t="shared" si="23"/>
        <v>5600.0000000000018</v>
      </c>
      <c r="AG36" s="46"/>
    </row>
    <row r="37" spans="11:33" x14ac:dyDescent="0.3">
      <c r="L37" s="46"/>
      <c r="M37" s="10" t="s">
        <v>122</v>
      </c>
      <c r="N37" s="5">
        <f>N31-N36</f>
        <v>0</v>
      </c>
      <c r="O37" s="5">
        <f t="shared" ref="O37:S37" si="24">O31-O36</f>
        <v>-5</v>
      </c>
      <c r="P37" s="5">
        <f t="shared" si="24"/>
        <v>0</v>
      </c>
      <c r="Q37" s="5">
        <f t="shared" si="24"/>
        <v>0</v>
      </c>
      <c r="R37" s="5">
        <f t="shared" si="24"/>
        <v>-5</v>
      </c>
      <c r="S37" s="5">
        <f t="shared" si="24"/>
        <v>-5</v>
      </c>
      <c r="T37" s="46"/>
      <c r="U37" s="4"/>
      <c r="X37" s="46"/>
      <c r="Y37" s="10" t="s">
        <v>122</v>
      </c>
      <c r="Z37" s="5">
        <f>Z31-Z36</f>
        <v>0</v>
      </c>
      <c r="AA37" s="5">
        <f t="shared" ref="AA37:AE37" si="25">AA31-AA36</f>
        <v>-4.9999999999999929</v>
      </c>
      <c r="AB37" s="5">
        <f t="shared" si="25"/>
        <v>0</v>
      </c>
      <c r="AC37" s="5">
        <f t="shared" si="25"/>
        <v>0</v>
      </c>
      <c r="AD37" s="5">
        <f t="shared" si="25"/>
        <v>-5</v>
      </c>
      <c r="AE37" s="5">
        <f t="shared" si="25"/>
        <v>-5</v>
      </c>
      <c r="AF37" s="46"/>
      <c r="AG37" s="46"/>
    </row>
    <row r="39" spans="11:33" x14ac:dyDescent="0.3">
      <c r="L39" t="s">
        <v>129</v>
      </c>
    </row>
    <row r="40" spans="11:33" x14ac:dyDescent="0.3">
      <c r="M40" t="s">
        <v>130</v>
      </c>
      <c r="N40" s="59">
        <f>T35</f>
        <v>40</v>
      </c>
    </row>
    <row r="41" spans="11:33" x14ac:dyDescent="0.3">
      <c r="M41" t="s">
        <v>131</v>
      </c>
      <c r="N41">
        <v>0</v>
      </c>
    </row>
    <row r="42" spans="11:33" x14ac:dyDescent="0.3">
      <c r="M42" t="s">
        <v>132</v>
      </c>
      <c r="N42" s="59">
        <f>T34</f>
        <v>160</v>
      </c>
    </row>
    <row r="43" spans="11:33" x14ac:dyDescent="0.3">
      <c r="M43" s="2" t="s">
        <v>133</v>
      </c>
      <c r="N43" s="59">
        <f>T33</f>
        <v>480</v>
      </c>
      <c r="O43" t="s">
        <v>134</v>
      </c>
    </row>
    <row r="44" spans="11:33" x14ac:dyDescent="0.3">
      <c r="M44" s="2" t="s">
        <v>135</v>
      </c>
      <c r="N44">
        <v>0</v>
      </c>
    </row>
    <row r="45" spans="11:33" x14ac:dyDescent="0.3">
      <c r="M45" s="2" t="s">
        <v>136</v>
      </c>
      <c r="N45">
        <v>0</v>
      </c>
    </row>
    <row r="47" spans="11:33" x14ac:dyDescent="0.3">
      <c r="L47" t="s">
        <v>8</v>
      </c>
      <c r="M47" t="s">
        <v>137</v>
      </c>
    </row>
    <row r="49" spans="12:13" x14ac:dyDescent="0.3">
      <c r="L49" t="s">
        <v>8</v>
      </c>
      <c r="M49" s="2">
        <f>60*N40+30*N41+20*N42+0*N43+0*N44+0*N45</f>
        <v>5600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2</vt:i4>
      </vt:variant>
    </vt:vector>
  </HeadingPairs>
  <TitlesOfParts>
    <vt:vector size="2" baseType="lpstr">
      <vt:lpstr>z1 macierzowo</vt:lpstr>
      <vt:lpstr>z2 macierzowo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Jakub  Lisowski</dc:creator>
  <cp:lastModifiedBy>Jakub  Lisowski</cp:lastModifiedBy>
  <dcterms:created xsi:type="dcterms:W3CDTF">2026-04-20T08:54:07Z</dcterms:created>
  <dcterms:modified xsi:type="dcterms:W3CDTF">2026-04-20T08:55:05Z</dcterms:modified>
</cp:coreProperties>
</file>