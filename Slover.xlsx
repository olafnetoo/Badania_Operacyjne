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c608\Desktop\BO_KW1\"/>
    </mc:Choice>
  </mc:AlternateContent>
  <xr:revisionPtr revIDLastSave="0" documentId="13_ncr:1_{6DBBCF9A-69E2-4BE2-87EB-E6ADB34A99E1}" xr6:coauthVersionLast="47" xr6:coauthVersionMax="47" xr10:uidLastSave="{00000000-0000-0000-0000-000000000000}"/>
  <bookViews>
    <workbookView xWindow="-108" yWindow="-108" windowWidth="23256" windowHeight="12456" firstSheet="6" activeTab="11" xr2:uid="{686BC011-2ED0-49AB-A7F8-FCF94A6EAB1E}"/>
  </bookViews>
  <sheets>
    <sheet name="Raport wyników 1" sheetId="4" r:id="rId1"/>
    <sheet name="Raport wrażliwości 1" sheetId="5" r:id="rId2"/>
    <sheet name="Raport granic 1" sheetId="6" r:id="rId3"/>
    <sheet name="slover_z1" sheetId="3" r:id="rId4"/>
    <sheet name="Raport wyników 2" sheetId="8" r:id="rId5"/>
    <sheet name="Raport wrażliwości 2" sheetId="9" r:id="rId6"/>
    <sheet name="Raport granic 2" sheetId="10" r:id="rId7"/>
    <sheet name="slover_z2" sheetId="7" r:id="rId8"/>
    <sheet name="Raport wyników 3" sheetId="12" r:id="rId9"/>
    <sheet name="Raport wrażliwości 3" sheetId="13" r:id="rId10"/>
    <sheet name="Raport granic 3" sheetId="14" r:id="rId11"/>
    <sheet name="z3_slover" sheetId="11" r:id="rId12"/>
  </sheets>
  <definedNames>
    <definedName name="solver_adj" localSheetId="3" hidden="1">slover_z1!$G$4:$I$4</definedName>
    <definedName name="solver_adj" localSheetId="7" hidden="1">slover_z2!$G$4:$I$4</definedName>
    <definedName name="solver_adj" localSheetId="11" hidden="1">z3_slover!$H$5:$J$5</definedName>
    <definedName name="solver_cvg" localSheetId="3" hidden="1">0.0001</definedName>
    <definedName name="solver_cvg" localSheetId="7" hidden="1">0.0001</definedName>
    <definedName name="solver_cvg" localSheetId="11" hidden="1">0.0001</definedName>
    <definedName name="solver_drv" localSheetId="3" hidden="1">1</definedName>
    <definedName name="solver_drv" localSheetId="7" hidden="1">1</definedName>
    <definedName name="solver_drv" localSheetId="11" hidden="1">1</definedName>
    <definedName name="solver_eng" localSheetId="3" hidden="1">2</definedName>
    <definedName name="solver_eng" localSheetId="7" hidden="1">2</definedName>
    <definedName name="solver_eng" localSheetId="11" hidden="1">2</definedName>
    <definedName name="solver_est" localSheetId="3" hidden="1">1</definedName>
    <definedName name="solver_est" localSheetId="7" hidden="1">1</definedName>
    <definedName name="solver_est" localSheetId="11" hidden="1">1</definedName>
    <definedName name="solver_itr" localSheetId="3" hidden="1">2147483647</definedName>
    <definedName name="solver_itr" localSheetId="7" hidden="1">2147483647</definedName>
    <definedName name="solver_itr" localSheetId="11" hidden="1">2147483647</definedName>
    <definedName name="solver_lhs1" localSheetId="3" hidden="1">slover_z1!$G$4:$I$4</definedName>
    <definedName name="solver_lhs1" localSheetId="7" hidden="1">slover_z2!$G$4:$I$4</definedName>
    <definedName name="solver_lhs1" localSheetId="11" hidden="1">z3_slover!$H$5:$J$5</definedName>
    <definedName name="solver_lhs2" localSheetId="3" hidden="1">slover_z1!$M$6</definedName>
    <definedName name="solver_lhs2" localSheetId="7" hidden="1">slover_z2!$M$6</definedName>
    <definedName name="solver_lhs2" localSheetId="11" hidden="1">z3_slover!$N$7</definedName>
    <definedName name="solver_lhs3" localSheetId="3" hidden="1">slover_z1!$M$7</definedName>
    <definedName name="solver_lhs3" localSheetId="7" hidden="1">slover_z2!$M$7</definedName>
    <definedName name="solver_lhs3" localSheetId="11" hidden="1">z3_slover!$N$8</definedName>
    <definedName name="solver_lhs4" localSheetId="3" hidden="1">slover_z1!$M$8</definedName>
    <definedName name="solver_lhs4" localSheetId="7" hidden="1">slover_z2!$M$8</definedName>
    <definedName name="solver_mip" localSheetId="3" hidden="1">2147483647</definedName>
    <definedName name="solver_mip" localSheetId="7" hidden="1">2147483647</definedName>
    <definedName name="solver_mip" localSheetId="11" hidden="1">2147483647</definedName>
    <definedName name="solver_mni" localSheetId="3" hidden="1">30</definedName>
    <definedName name="solver_mni" localSheetId="7" hidden="1">30</definedName>
    <definedName name="solver_mni" localSheetId="11" hidden="1">30</definedName>
    <definedName name="solver_mrt" localSheetId="3" hidden="1">0.075</definedName>
    <definedName name="solver_mrt" localSheetId="7" hidden="1">0.075</definedName>
    <definedName name="solver_mrt" localSheetId="11" hidden="1">0.075</definedName>
    <definedName name="solver_msl" localSheetId="3" hidden="1">2</definedName>
    <definedName name="solver_msl" localSheetId="7" hidden="1">2</definedName>
    <definedName name="solver_msl" localSheetId="11" hidden="1">2</definedName>
    <definedName name="solver_neg" localSheetId="3" hidden="1">1</definedName>
    <definedName name="solver_neg" localSheetId="7" hidden="1">1</definedName>
    <definedName name="solver_neg" localSheetId="11" hidden="1">1</definedName>
    <definedName name="solver_nod" localSheetId="3" hidden="1">2147483647</definedName>
    <definedName name="solver_nod" localSheetId="7" hidden="1">2147483647</definedName>
    <definedName name="solver_nod" localSheetId="11" hidden="1">2147483647</definedName>
    <definedName name="solver_num" localSheetId="3" hidden="1">4</definedName>
    <definedName name="solver_num" localSheetId="7" hidden="1">4</definedName>
    <definedName name="solver_num" localSheetId="11" hidden="1">3</definedName>
    <definedName name="solver_nwt" localSheetId="3" hidden="1">1</definedName>
    <definedName name="solver_nwt" localSheetId="7" hidden="1">1</definedName>
    <definedName name="solver_nwt" localSheetId="11" hidden="1">1</definedName>
    <definedName name="solver_opt" localSheetId="3" hidden="1">slover_z1!$M$5</definedName>
    <definedName name="solver_opt" localSheetId="7" hidden="1">slover_z2!$M$5</definedName>
    <definedName name="solver_opt" localSheetId="11" hidden="1">z3_slover!$N$6</definedName>
    <definedName name="solver_pre" localSheetId="3" hidden="1">0.000001</definedName>
    <definedName name="solver_pre" localSheetId="7" hidden="1">0.000001</definedName>
    <definedName name="solver_pre" localSheetId="11" hidden="1">0.000001</definedName>
    <definedName name="solver_rbv" localSheetId="3" hidden="1">1</definedName>
    <definedName name="solver_rbv" localSheetId="7" hidden="1">1</definedName>
    <definedName name="solver_rbv" localSheetId="11" hidden="1">1</definedName>
    <definedName name="solver_rel1" localSheetId="3" hidden="1">3</definedName>
    <definedName name="solver_rel1" localSheetId="7" hidden="1">3</definedName>
    <definedName name="solver_rel1" localSheetId="11" hidden="1">3</definedName>
    <definedName name="solver_rel2" localSheetId="3" hidden="1">1</definedName>
    <definedName name="solver_rel2" localSheetId="7" hidden="1">1</definedName>
    <definedName name="solver_rel2" localSheetId="11" hidden="1">3</definedName>
    <definedName name="solver_rel3" localSheetId="3" hidden="1">1</definedName>
    <definedName name="solver_rel3" localSheetId="7" hidden="1">1</definedName>
    <definedName name="solver_rel3" localSheetId="11" hidden="1">3</definedName>
    <definedName name="solver_rel4" localSheetId="3" hidden="1">1</definedName>
    <definedName name="solver_rel4" localSheetId="7" hidden="1">1</definedName>
    <definedName name="solver_rhs1" localSheetId="3" hidden="1">slover_z1!$J$9</definedName>
    <definedName name="solver_rhs1" localSheetId="7" hidden="1">slover_z2!$J$9</definedName>
    <definedName name="solver_rhs1" localSheetId="11" hidden="1">z3_slover!$K$9</definedName>
    <definedName name="solver_rhs2" localSheetId="3" hidden="1">slover_z1!$J$6</definedName>
    <definedName name="solver_rhs2" localSheetId="7" hidden="1">slover_z2!$J$6</definedName>
    <definedName name="solver_rhs2" localSheetId="11" hidden="1">z3_slover!$K$7</definedName>
    <definedName name="solver_rhs3" localSheetId="3" hidden="1">slover_z1!$J$7</definedName>
    <definedName name="solver_rhs3" localSheetId="7" hidden="1">slover_z2!$J$7</definedName>
    <definedName name="solver_rhs3" localSheetId="11" hidden="1">z3_slover!$K$8</definedName>
    <definedName name="solver_rhs4" localSheetId="3" hidden="1">slover_z1!$J$8</definedName>
    <definedName name="solver_rhs4" localSheetId="7" hidden="1">slover_z2!$J$8</definedName>
    <definedName name="solver_rlx" localSheetId="3" hidden="1">2</definedName>
    <definedName name="solver_rlx" localSheetId="7" hidden="1">2</definedName>
    <definedName name="solver_rlx" localSheetId="11" hidden="1">2</definedName>
    <definedName name="solver_rsd" localSheetId="3" hidden="1">0</definedName>
    <definedName name="solver_rsd" localSheetId="7" hidden="1">0</definedName>
    <definedName name="solver_rsd" localSheetId="11" hidden="1">0</definedName>
    <definedName name="solver_scl" localSheetId="3" hidden="1">1</definedName>
    <definedName name="solver_scl" localSheetId="7" hidden="1">1</definedName>
    <definedName name="solver_scl" localSheetId="11" hidden="1">1</definedName>
    <definedName name="solver_sho" localSheetId="2" hidden="1">2</definedName>
    <definedName name="solver_sho" localSheetId="6" hidden="1">2</definedName>
    <definedName name="solver_sho" localSheetId="10" hidden="1">2</definedName>
    <definedName name="solver_sho" localSheetId="3" hidden="1">2</definedName>
    <definedName name="solver_sho" localSheetId="7" hidden="1">2</definedName>
    <definedName name="solver_sho" localSheetId="11" hidden="1">2</definedName>
    <definedName name="solver_ssz" localSheetId="3" hidden="1">100</definedName>
    <definedName name="solver_ssz" localSheetId="7" hidden="1">100</definedName>
    <definedName name="solver_ssz" localSheetId="11" hidden="1">100</definedName>
    <definedName name="solver_tim" localSheetId="3" hidden="1">2147483647</definedName>
    <definedName name="solver_tim" localSheetId="7" hidden="1">2147483647</definedName>
    <definedName name="solver_tim" localSheetId="11" hidden="1">2147483647</definedName>
    <definedName name="solver_tol" localSheetId="3" hidden="1">0.01</definedName>
    <definedName name="solver_tol" localSheetId="7" hidden="1">0.01</definedName>
    <definedName name="solver_tol" localSheetId="11" hidden="1">0.01</definedName>
    <definedName name="solver_typ" localSheetId="3" hidden="1">1</definedName>
    <definedName name="solver_typ" localSheetId="7" hidden="1">1</definedName>
    <definedName name="solver_typ" localSheetId="11" hidden="1">2</definedName>
    <definedName name="solver_val" localSheetId="3" hidden="1">0</definedName>
    <definedName name="solver_val" localSheetId="7" hidden="1">0</definedName>
    <definedName name="solver_val" localSheetId="11" hidden="1">0</definedName>
    <definedName name="solver_ver" localSheetId="3" hidden="1">3</definedName>
    <definedName name="solver_ver" localSheetId="7" hidden="1">3</definedName>
    <definedName name="solver_ver" localSheetId="1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0" i="13" l="1"/>
  <c r="J11" i="13"/>
  <c r="J9" i="13"/>
  <c r="I10" i="13"/>
  <c r="I11" i="13"/>
  <c r="I9" i="13"/>
  <c r="I17" i="13"/>
  <c r="J17" i="13"/>
  <c r="I16" i="13"/>
  <c r="J16" i="13"/>
  <c r="N8" i="11"/>
  <c r="N7" i="11"/>
  <c r="N6" i="11"/>
  <c r="J17" i="9"/>
  <c r="J18" i="9"/>
  <c r="J16" i="9"/>
  <c r="I17" i="9"/>
  <c r="I18" i="9"/>
  <c r="I16" i="9"/>
  <c r="I10" i="9"/>
  <c r="J10" i="9"/>
  <c r="I11" i="9"/>
  <c r="J11" i="9"/>
  <c r="J9" i="9"/>
  <c r="I9" i="9"/>
  <c r="M7" i="7"/>
  <c r="M8" i="7"/>
  <c r="M6" i="7"/>
  <c r="M5" i="7"/>
  <c r="I17" i="5"/>
  <c r="J17" i="5"/>
  <c r="I18" i="5"/>
  <c r="J18" i="5"/>
  <c r="J16" i="5"/>
  <c r="I16" i="5"/>
  <c r="J10" i="5"/>
  <c r="J11" i="5"/>
  <c r="I10" i="5"/>
  <c r="I11" i="5"/>
  <c r="J9" i="5"/>
  <c r="I9" i="5"/>
  <c r="K7" i="3"/>
  <c r="K8" i="3"/>
  <c r="K6" i="3"/>
  <c r="M5" i="3"/>
  <c r="M8" i="3"/>
  <c r="M7" i="3"/>
  <c r="M6" i="3"/>
</calcChain>
</file>

<file path=xl/sharedStrings.xml><?xml version="1.0" encoding="utf-8"?>
<sst xmlns="http://schemas.openxmlformats.org/spreadsheetml/2006/main" count="476" uniqueCount="124">
  <si>
    <t>Postać standardowa modelu:</t>
  </si>
  <si>
    <t>FC:</t>
  </si>
  <si>
    <t>32X1+24X2+48X3~~MAX</t>
  </si>
  <si>
    <t>WO1:</t>
  </si>
  <si>
    <t>2X1+2X2+5X3&lt;=40</t>
  </si>
  <si>
    <t>WO2:</t>
  </si>
  <si>
    <t>1X1+3X2+2X3&lt;=30</t>
  </si>
  <si>
    <t>3X1+1X2+3X3&lt;=30</t>
  </si>
  <si>
    <t>WB:</t>
  </si>
  <si>
    <t>X1,X2,X3&gt;=0</t>
  </si>
  <si>
    <t>60X1+30X2+20X3~~MAX</t>
  </si>
  <si>
    <t>8X1+6X2+1X3&lt;=960</t>
  </si>
  <si>
    <t>8X1+4X2+3X3&lt;=800</t>
  </si>
  <si>
    <t>WO3:</t>
  </si>
  <si>
    <t>4X1+3X2+1X3&lt;=320</t>
  </si>
  <si>
    <t>x2</t>
  </si>
  <si>
    <t>x3</t>
  </si>
  <si>
    <t>x1</t>
  </si>
  <si>
    <t>Fc:</t>
  </si>
  <si>
    <t>Formuły</t>
  </si>
  <si>
    <t>Microsoft Excel 16.0 Raport wyników</t>
  </si>
  <si>
    <t>Arkusz: [Simplex macierzowo 1.xlsx]slover_z1</t>
  </si>
  <si>
    <t>Raport utworzony: 18.05.2026 08:32:14</t>
  </si>
  <si>
    <t>Wynik: Dodatek Solver znalazł rozwiązanie. Wszystkie ograniczenia i warunki optymalizacji są spełnione.</t>
  </si>
  <si>
    <t>Aparat dodatku Solver</t>
  </si>
  <si>
    <t>Aparat: LP simpleks</t>
  </si>
  <si>
    <t>Czas rozwiązania: 0,032 sek.</t>
  </si>
  <si>
    <t>Liczba iteracji: 3 Podproblemy: 0</t>
  </si>
  <si>
    <t>Opcje dodatku Solver</t>
  </si>
  <si>
    <t>Maksymalny czas Nieograniczone,  Iteracje Nieograniczone, Precision 0,000001, Użyj skalowania automatycznego</t>
  </si>
  <si>
    <t>Maksymalna liczba podproblemów Nieograniczone, Maksymalna liczba rozwiązań całkowitoliczbowych Nieograniczone, Tolerancja całkowitoliczbowa 1%, Przyjmij nieujemne</t>
  </si>
  <si>
    <t>Komórka celu (Maks)</t>
  </si>
  <si>
    <t>Komórka</t>
  </si>
  <si>
    <t>Nazwa</t>
  </si>
  <si>
    <t>Wartość początkowa</t>
  </si>
  <si>
    <t>Wartość końcowa</t>
  </si>
  <si>
    <t>Komórki zmiennych</t>
  </si>
  <si>
    <t>Całkowite</t>
  </si>
  <si>
    <t>Ograniczenia</t>
  </si>
  <si>
    <t>Wartość komórki</t>
  </si>
  <si>
    <t>Formuła</t>
  </si>
  <si>
    <t>Stan</t>
  </si>
  <si>
    <t>Zapas czasu</t>
  </si>
  <si>
    <t>$M$5</t>
  </si>
  <si>
    <t>$G$4</t>
  </si>
  <si>
    <t>2X1+2X2+5X3&lt;=40 x1</t>
  </si>
  <si>
    <t>Ciągłe</t>
  </si>
  <si>
    <t>$H$4</t>
  </si>
  <si>
    <t>2X1+2X2+5X3&lt;=40 x2</t>
  </si>
  <si>
    <t>$I$4</t>
  </si>
  <si>
    <t>2X1+2X2+5X3&lt;=40 x3</t>
  </si>
  <si>
    <t>$M$6</t>
  </si>
  <si>
    <t>$M$6&lt;=$J$6</t>
  </si>
  <si>
    <t>Wiążące</t>
  </si>
  <si>
    <t>$M$7</t>
  </si>
  <si>
    <t>$M$7&lt;=$J$7</t>
  </si>
  <si>
    <t>$M$8</t>
  </si>
  <si>
    <t>$M$8&lt;=$J$8</t>
  </si>
  <si>
    <t>$G$4&gt;=$J$9</t>
  </si>
  <si>
    <t>Niewiążące</t>
  </si>
  <si>
    <t>$H$4&gt;=$J$9</t>
  </si>
  <si>
    <t>$I$4&gt;=$J$9</t>
  </si>
  <si>
    <t>Microsoft Excel 16.0 Raport wrażliwości</t>
  </si>
  <si>
    <t>Końcowa</t>
  </si>
  <si>
    <t>wartość</t>
  </si>
  <si>
    <t>Koszt</t>
  </si>
  <si>
    <t>zmniejszony</t>
  </si>
  <si>
    <t>Współczynnik</t>
  </si>
  <si>
    <t>funkcji celu</t>
  </si>
  <si>
    <t>Dopuszczalny</t>
  </si>
  <si>
    <t>wzrost</t>
  </si>
  <si>
    <t>spadek</t>
  </si>
  <si>
    <t>Cena</t>
  </si>
  <si>
    <t>dualna</t>
  </si>
  <si>
    <t>Prawa strona</t>
  </si>
  <si>
    <t>ograniczenia</t>
  </si>
  <si>
    <t>Microsoft Excel 16.0 Raport granic</t>
  </si>
  <si>
    <t>Zmienna</t>
  </si>
  <si>
    <t>Dolna</t>
  </si>
  <si>
    <t>granica</t>
  </si>
  <si>
    <t>Wynik</t>
  </si>
  <si>
    <t>Górna</t>
  </si>
  <si>
    <t>zmienne swobodne</t>
  </si>
  <si>
    <t>dolna gr</t>
  </si>
  <si>
    <t>górna gr</t>
  </si>
  <si>
    <t>Dla Cj</t>
  </si>
  <si>
    <t>Dla Bi</t>
  </si>
  <si>
    <t>Arkusz: [Simplex macierzowo 1.xlsx]slover_z2</t>
  </si>
  <si>
    <t>Raport utworzony: 18.05.2026 08:49:53</t>
  </si>
  <si>
    <t>Czas rozwiązania: 0,031 sek.</t>
  </si>
  <si>
    <t>Liczba iteracji: 2 Podproblemy: 0</t>
  </si>
  <si>
    <t>Raport utworzony: 18.05.2026 08:49:54</t>
  </si>
  <si>
    <t>góna gr</t>
  </si>
  <si>
    <t>Funkcja celu:</t>
  </si>
  <si>
    <t>1000Y1+2400Y2+600Y3~minimum</t>
  </si>
  <si>
    <t>Warunki ograniczające:</t>
  </si>
  <si>
    <t>2Y1+3Y2+1,5Y3&gt;=30</t>
  </si>
  <si>
    <t>1Y1+3Y2+0*Y3&gt;=20</t>
  </si>
  <si>
    <t>Warunki brzegowe:</t>
  </si>
  <si>
    <t>Y1, Y2, Y3&gt;=0</t>
  </si>
  <si>
    <t>fc</t>
  </si>
  <si>
    <t>wo1</t>
  </si>
  <si>
    <t>wo2</t>
  </si>
  <si>
    <t>wb</t>
  </si>
  <si>
    <t>wo</t>
  </si>
  <si>
    <t>Arkusz: [Slover.xlsx]z3_slover</t>
  </si>
  <si>
    <t>Raport utworzony: 18.05.2026 09:04:30</t>
  </si>
  <si>
    <t>Komórka celu (Min)</t>
  </si>
  <si>
    <t>$N$6</t>
  </si>
  <si>
    <t>$H$5</t>
  </si>
  <si>
    <t>1000Y1+2400Y2+600Y3~minimum x1</t>
  </si>
  <si>
    <t>$I$5</t>
  </si>
  <si>
    <t>1000Y1+2400Y2+600Y3~minimum x2</t>
  </si>
  <si>
    <t>$J$5</t>
  </si>
  <si>
    <t>1000Y1+2400Y2+600Y3~minimum x3</t>
  </si>
  <si>
    <t>$N$7</t>
  </si>
  <si>
    <t>$N$7&gt;=$K$7</t>
  </si>
  <si>
    <t>$N$8</t>
  </si>
  <si>
    <t>$N$8&gt;=$K$8</t>
  </si>
  <si>
    <t>$H$5&gt;=$K$9</t>
  </si>
  <si>
    <t>$I$5&gt;=$K$9</t>
  </si>
  <si>
    <t>$J$5&gt;=$K$9</t>
  </si>
  <si>
    <t>Raport utworzony: 18.05.2026 09:04:31</t>
  </si>
  <si>
    <t>#N/D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</si>
</sst>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.00\ _z_ł_-;\-* #,##0.00\ _z_ł_-;_-* &quot;-&quot;??\ _z_ł_-;_-@_-"/>
  </numFmts>
  <fonts count="5" x14ac:knownFonts="1">
    <font>
      <sz val="11"/>
      <color theme="1"/>
      <name val="Calibri"/>
      <family val="2"/>
      <charset val="238"/>
      <scheme val="minor"/>
    </font>
    <font>
      <b/>
      <u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indexed="18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1" xfId="0" applyBorder="1"/>
    <xf numFmtId="0" fontId="0" fillId="3" borderId="1" xfId="0" applyFill="1" applyBorder="1"/>
    <xf numFmtId="0" fontId="0" fillId="4" borderId="0" xfId="0" applyFill="1"/>
    <xf numFmtId="0" fontId="0" fillId="5" borderId="0" xfId="0" applyFill="1" applyBorder="1"/>
    <xf numFmtId="0" fontId="3" fillId="0" borderId="0" xfId="0" applyFont="1"/>
    <xf numFmtId="0" fontId="0" fillId="0" borderId="5" xfId="0" applyFill="1" applyBorder="1" applyAlignment="1"/>
    <xf numFmtId="0" fontId="4" fillId="0" borderId="4" xfId="0" applyFont="1" applyFill="1" applyBorder="1" applyAlignment="1">
      <alignment horizontal="center"/>
    </xf>
    <xf numFmtId="0" fontId="0" fillId="0" borderId="6" xfId="0" applyFill="1" applyBorder="1" applyAlignment="1"/>
    <xf numFmtId="0" fontId="0" fillId="0" borderId="5" xfId="0" applyNumberFormat="1" applyFill="1" applyBorder="1" applyAlignment="1"/>
    <xf numFmtId="0" fontId="0" fillId="0" borderId="6" xfId="0" applyNumberFormat="1" applyFill="1" applyBorder="1" applyAlignment="1"/>
    <xf numFmtId="0" fontId="4" fillId="0" borderId="2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43" fontId="0" fillId="0" borderId="6" xfId="1" applyFont="1" applyFill="1" applyBorder="1" applyAlignment="1"/>
    <xf numFmtId="0" fontId="4" fillId="0" borderId="0" xfId="0" applyFont="1" applyFill="1" applyBorder="1" applyAlignment="1">
      <alignment horizontal="center"/>
    </xf>
    <xf numFmtId="165" fontId="0" fillId="0" borderId="0" xfId="0" applyNumberFormat="1"/>
    <xf numFmtId="2" fontId="0" fillId="0" borderId="6" xfId="0" applyNumberFormat="1" applyFill="1" applyBorder="1" applyAlignment="1"/>
    <xf numFmtId="2" fontId="0" fillId="0" borderId="5" xfId="0" applyNumberFormat="1" applyFill="1" applyBorder="1" applyAlignment="1"/>
  </cellXfs>
  <cellStyles count="2">
    <cellStyle name="Dziesiętny" xfId="1" builtinId="3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37F71-F377-4A4C-9897-D3EEBA46A7FB}">
  <dimension ref="A1:G33"/>
  <sheetViews>
    <sheetView showGridLines="0" topLeftCell="A19" workbookViewId="0"/>
  </sheetViews>
  <sheetFormatPr defaultRowHeight="14.4" x14ac:dyDescent="0.3"/>
  <cols>
    <col min="1" max="1" width="2.33203125" customWidth="1"/>
    <col min="2" max="2" width="8.6640625" bestFit="1" customWidth="1"/>
    <col min="3" max="3" width="18.5546875" bestFit="1" customWidth="1"/>
    <col min="4" max="4" width="18.6640625" bestFit="1" customWidth="1"/>
    <col min="5" max="5" width="16.109375" bestFit="1" customWidth="1"/>
    <col min="6" max="6" width="10.33203125" bestFit="1" customWidth="1"/>
    <col min="7" max="7" width="10.88671875" bestFit="1" customWidth="1"/>
  </cols>
  <sheetData>
    <row r="1" spans="1:5" x14ac:dyDescent="0.3">
      <c r="A1" s="7" t="s">
        <v>20</v>
      </c>
    </row>
    <row r="2" spans="1:5" x14ac:dyDescent="0.3">
      <c r="A2" s="7" t="s">
        <v>21</v>
      </c>
    </row>
    <row r="3" spans="1:5" x14ac:dyDescent="0.3">
      <c r="A3" s="7" t="s">
        <v>22</v>
      </c>
    </row>
    <row r="4" spans="1:5" x14ac:dyDescent="0.3">
      <c r="A4" s="7" t="s">
        <v>23</v>
      </c>
    </row>
    <row r="5" spans="1:5" x14ac:dyDescent="0.3">
      <c r="A5" s="7" t="s">
        <v>24</v>
      </c>
    </row>
    <row r="6" spans="1:5" x14ac:dyDescent="0.3">
      <c r="A6" s="7"/>
      <c r="B6" t="s">
        <v>25</v>
      </c>
    </row>
    <row r="7" spans="1:5" x14ac:dyDescent="0.3">
      <c r="A7" s="7"/>
      <c r="B7" t="s">
        <v>26</v>
      </c>
    </row>
    <row r="8" spans="1:5" x14ac:dyDescent="0.3">
      <c r="A8" s="7"/>
      <c r="B8" t="s">
        <v>27</v>
      </c>
    </row>
    <row r="9" spans="1:5" x14ac:dyDescent="0.3">
      <c r="A9" s="7" t="s">
        <v>28</v>
      </c>
    </row>
    <row r="10" spans="1:5" x14ac:dyDescent="0.3">
      <c r="B10" t="s">
        <v>29</v>
      </c>
    </row>
    <row r="11" spans="1:5" x14ac:dyDescent="0.3">
      <c r="B11" t="s">
        <v>30</v>
      </c>
    </row>
    <row r="14" spans="1:5" ht="15" thickBot="1" x14ac:dyDescent="0.35">
      <c r="A14" t="s">
        <v>31</v>
      </c>
    </row>
    <row r="15" spans="1:5" ht="15" thickBot="1" x14ac:dyDescent="0.35">
      <c r="B15" s="9" t="s">
        <v>32</v>
      </c>
      <c r="C15" s="9" t="s">
        <v>33</v>
      </c>
      <c r="D15" s="9" t="s">
        <v>34</v>
      </c>
      <c r="E15" s="9" t="s">
        <v>35</v>
      </c>
    </row>
    <row r="16" spans="1:5" ht="15" thickBot="1" x14ac:dyDescent="0.35">
      <c r="B16" s="8" t="s">
        <v>43</v>
      </c>
      <c r="C16" s="8" t="s">
        <v>18</v>
      </c>
      <c r="D16" s="11">
        <v>0</v>
      </c>
      <c r="E16" s="11">
        <v>464</v>
      </c>
    </row>
    <row r="19" spans="1:7" ht="15" thickBot="1" x14ac:dyDescent="0.35">
      <c r="A19" t="s">
        <v>36</v>
      </c>
    </row>
    <row r="20" spans="1:7" ht="15" thickBot="1" x14ac:dyDescent="0.35">
      <c r="B20" s="9" t="s">
        <v>32</v>
      </c>
      <c r="C20" s="9" t="s">
        <v>33</v>
      </c>
      <c r="D20" s="9" t="s">
        <v>34</v>
      </c>
      <c r="E20" s="9" t="s">
        <v>35</v>
      </c>
      <c r="F20" s="9" t="s">
        <v>37</v>
      </c>
    </row>
    <row r="21" spans="1:7" x14ac:dyDescent="0.3">
      <c r="B21" s="10" t="s">
        <v>44</v>
      </c>
      <c r="C21" s="10" t="s">
        <v>45</v>
      </c>
      <c r="D21" s="12">
        <v>0</v>
      </c>
      <c r="E21" s="12">
        <v>4</v>
      </c>
      <c r="F21" s="10" t="s">
        <v>46</v>
      </c>
    </row>
    <row r="22" spans="1:7" x14ac:dyDescent="0.3">
      <c r="B22" s="10" t="s">
        <v>47</v>
      </c>
      <c r="C22" s="10" t="s">
        <v>48</v>
      </c>
      <c r="D22" s="12">
        <v>0</v>
      </c>
      <c r="E22" s="12">
        <v>6</v>
      </c>
      <c r="F22" s="10" t="s">
        <v>46</v>
      </c>
    </row>
    <row r="23" spans="1:7" ht="15" thickBot="1" x14ac:dyDescent="0.35">
      <c r="B23" s="8" t="s">
        <v>49</v>
      </c>
      <c r="C23" s="8" t="s">
        <v>50</v>
      </c>
      <c r="D23" s="11">
        <v>0</v>
      </c>
      <c r="E23" s="11">
        <v>3.9999999999999996</v>
      </c>
      <c r="F23" s="8" t="s">
        <v>46</v>
      </c>
    </row>
    <row r="26" spans="1:7" ht="15" thickBot="1" x14ac:dyDescent="0.35">
      <c r="A26" t="s">
        <v>38</v>
      </c>
    </row>
    <row r="27" spans="1:7" ht="15" thickBot="1" x14ac:dyDescent="0.35">
      <c r="B27" s="9" t="s">
        <v>32</v>
      </c>
      <c r="C27" s="9" t="s">
        <v>33</v>
      </c>
      <c r="D27" s="9" t="s">
        <v>39</v>
      </c>
      <c r="E27" s="9" t="s">
        <v>40</v>
      </c>
      <c r="F27" s="9" t="s">
        <v>41</v>
      </c>
      <c r="G27" s="9" t="s">
        <v>42</v>
      </c>
    </row>
    <row r="28" spans="1:7" x14ac:dyDescent="0.3">
      <c r="B28" s="10" t="s">
        <v>51</v>
      </c>
      <c r="C28" s="10" t="s">
        <v>3</v>
      </c>
      <c r="D28" s="12">
        <v>40</v>
      </c>
      <c r="E28" s="10" t="s">
        <v>52</v>
      </c>
      <c r="F28" s="10" t="s">
        <v>53</v>
      </c>
      <c r="G28" s="10">
        <v>0</v>
      </c>
    </row>
    <row r="29" spans="1:7" x14ac:dyDescent="0.3">
      <c r="B29" s="10" t="s">
        <v>54</v>
      </c>
      <c r="C29" s="10" t="s">
        <v>5</v>
      </c>
      <c r="D29" s="12">
        <v>30</v>
      </c>
      <c r="E29" s="10" t="s">
        <v>55</v>
      </c>
      <c r="F29" s="10" t="s">
        <v>53</v>
      </c>
      <c r="G29" s="10">
        <v>0</v>
      </c>
    </row>
    <row r="30" spans="1:7" x14ac:dyDescent="0.3">
      <c r="B30" s="10" t="s">
        <v>56</v>
      </c>
      <c r="C30" s="10" t="s">
        <v>13</v>
      </c>
      <c r="D30" s="12">
        <v>30</v>
      </c>
      <c r="E30" s="10" t="s">
        <v>57</v>
      </c>
      <c r="F30" s="10" t="s">
        <v>53</v>
      </c>
      <c r="G30" s="10">
        <v>0</v>
      </c>
    </row>
    <row r="31" spans="1:7" x14ac:dyDescent="0.3">
      <c r="B31" s="10" t="s">
        <v>44</v>
      </c>
      <c r="C31" s="10" t="s">
        <v>45</v>
      </c>
      <c r="D31" s="12">
        <v>4</v>
      </c>
      <c r="E31" s="10" t="s">
        <v>58</v>
      </c>
      <c r="F31" s="10" t="s">
        <v>59</v>
      </c>
      <c r="G31" s="12">
        <v>4</v>
      </c>
    </row>
    <row r="32" spans="1:7" x14ac:dyDescent="0.3">
      <c r="B32" s="10" t="s">
        <v>47</v>
      </c>
      <c r="C32" s="10" t="s">
        <v>48</v>
      </c>
      <c r="D32" s="12">
        <v>6</v>
      </c>
      <c r="E32" s="10" t="s">
        <v>60</v>
      </c>
      <c r="F32" s="10" t="s">
        <v>59</v>
      </c>
      <c r="G32" s="12">
        <v>6</v>
      </c>
    </row>
    <row r="33" spans="2:7" ht="15" thickBot="1" x14ac:dyDescent="0.35">
      <c r="B33" s="8" t="s">
        <v>49</v>
      </c>
      <c r="C33" s="8" t="s">
        <v>50</v>
      </c>
      <c r="D33" s="11">
        <v>3.9999999999999996</v>
      </c>
      <c r="E33" s="8" t="s">
        <v>61</v>
      </c>
      <c r="F33" s="8" t="s">
        <v>59</v>
      </c>
      <c r="G33" s="11">
        <v>3.9999999999999996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81C43-321E-4E04-9E92-2529EE4A3422}">
  <dimension ref="A1:J18"/>
  <sheetViews>
    <sheetView showGridLines="0" workbookViewId="0">
      <selection activeCell="F14" sqref="F14"/>
    </sheetView>
  </sheetViews>
  <sheetFormatPr defaultRowHeight="14.4" x14ac:dyDescent="0.3"/>
  <cols>
    <col min="1" max="1" width="2.33203125" customWidth="1"/>
    <col min="2" max="2" width="8.6640625" bestFit="1" customWidth="1"/>
    <col min="3" max="3" width="18.5546875" bestFit="1" customWidth="1"/>
    <col min="4" max="4" width="8.77734375" bestFit="1" customWidth="1"/>
    <col min="5" max="5" width="11.33203125" bestFit="1" customWidth="1"/>
    <col min="6" max="6" width="12.6640625" bestFit="1" customWidth="1"/>
    <col min="7" max="8" width="12.33203125" bestFit="1" customWidth="1"/>
  </cols>
  <sheetData>
    <row r="1" spans="1:10" x14ac:dyDescent="0.3">
      <c r="A1" s="7" t="s">
        <v>62</v>
      </c>
    </row>
    <row r="2" spans="1:10" x14ac:dyDescent="0.3">
      <c r="A2" s="7" t="s">
        <v>21</v>
      </c>
    </row>
    <row r="3" spans="1:10" x14ac:dyDescent="0.3">
      <c r="A3" s="7" t="s">
        <v>22</v>
      </c>
    </row>
    <row r="6" spans="1:10" ht="15" thickBot="1" x14ac:dyDescent="0.35">
      <c r="A6" t="s">
        <v>36</v>
      </c>
      <c r="F6" t="s">
        <v>85</v>
      </c>
    </row>
    <row r="7" spans="1:10" x14ac:dyDescent="0.3">
      <c r="B7" s="13"/>
      <c r="C7" s="13"/>
      <c r="D7" s="13" t="s">
        <v>63</v>
      </c>
      <c r="E7" s="13" t="s">
        <v>65</v>
      </c>
      <c r="F7" s="13" t="s">
        <v>67</v>
      </c>
      <c r="G7" s="13" t="s">
        <v>69</v>
      </c>
      <c r="H7" s="13" t="s">
        <v>69</v>
      </c>
    </row>
    <row r="8" spans="1:10" ht="15" thickBot="1" x14ac:dyDescent="0.35">
      <c r="B8" s="14" t="s">
        <v>32</v>
      </c>
      <c r="C8" s="14" t="s">
        <v>33</v>
      </c>
      <c r="D8" s="14" t="s">
        <v>64</v>
      </c>
      <c r="E8" s="14" t="s">
        <v>66</v>
      </c>
      <c r="F8" s="14" t="s">
        <v>68</v>
      </c>
      <c r="G8" s="14" t="s">
        <v>70</v>
      </c>
      <c r="H8" s="14" t="s">
        <v>71</v>
      </c>
      <c r="I8" s="16" t="s">
        <v>83</v>
      </c>
      <c r="J8" s="16" t="s">
        <v>84</v>
      </c>
    </row>
    <row r="9" spans="1:10" x14ac:dyDescent="0.3">
      <c r="B9" s="10" t="s">
        <v>44</v>
      </c>
      <c r="C9" s="10" t="s">
        <v>45</v>
      </c>
      <c r="D9" s="10">
        <v>4</v>
      </c>
      <c r="E9" s="10">
        <v>0</v>
      </c>
      <c r="F9" s="10">
        <v>32</v>
      </c>
      <c r="G9" s="15">
        <v>12.571428571428571</v>
      </c>
      <c r="H9" s="15">
        <v>12.363636363636363</v>
      </c>
      <c r="I9" s="17">
        <f>F9-H9</f>
        <v>19.636363636363637</v>
      </c>
      <c r="J9" s="17">
        <f>F9+G9</f>
        <v>44.571428571428569</v>
      </c>
    </row>
    <row r="10" spans="1:10" x14ac:dyDescent="0.3">
      <c r="B10" s="10" t="s">
        <v>47</v>
      </c>
      <c r="C10" s="10" t="s">
        <v>48</v>
      </c>
      <c r="D10" s="10">
        <v>6</v>
      </c>
      <c r="E10" s="10">
        <v>0</v>
      </c>
      <c r="F10" s="10">
        <v>24</v>
      </c>
      <c r="G10" s="15">
        <v>29.333333333333332</v>
      </c>
      <c r="H10" s="15">
        <v>6.2222222222222214</v>
      </c>
      <c r="I10" s="17">
        <f t="shared" ref="I10:I11" si="0">F10-H10</f>
        <v>17.777777777777779</v>
      </c>
      <c r="J10" s="17">
        <f t="shared" ref="J10:J11" si="1">F10+G10</f>
        <v>53.333333333333329</v>
      </c>
    </row>
    <row r="11" spans="1:10" ht="15" thickBot="1" x14ac:dyDescent="0.35">
      <c r="B11" s="8" t="s">
        <v>49</v>
      </c>
      <c r="C11" s="8" t="s">
        <v>50</v>
      </c>
      <c r="D11" s="8">
        <v>3.9999999999999996</v>
      </c>
      <c r="E11" s="8">
        <v>0</v>
      </c>
      <c r="F11" s="8">
        <v>48</v>
      </c>
      <c r="G11" s="8">
        <v>13.999999999999998</v>
      </c>
      <c r="H11" s="8">
        <v>11</v>
      </c>
      <c r="I11" s="17">
        <f t="shared" si="0"/>
        <v>37</v>
      </c>
      <c r="J11" s="17">
        <f t="shared" si="1"/>
        <v>62</v>
      </c>
    </row>
    <row r="13" spans="1:10" ht="15" thickBot="1" x14ac:dyDescent="0.35">
      <c r="A13" t="s">
        <v>38</v>
      </c>
      <c r="F13" t="s">
        <v>86</v>
      </c>
    </row>
    <row r="14" spans="1:10" x14ac:dyDescent="0.3">
      <c r="B14" s="13"/>
      <c r="C14" s="13"/>
      <c r="D14" s="13" t="s">
        <v>63</v>
      </c>
      <c r="E14" s="13" t="s">
        <v>72</v>
      </c>
      <c r="F14" s="13" t="s">
        <v>74</v>
      </c>
      <c r="G14" s="13" t="s">
        <v>69</v>
      </c>
      <c r="H14" s="13" t="s">
        <v>69</v>
      </c>
    </row>
    <row r="15" spans="1:10" ht="15" thickBot="1" x14ac:dyDescent="0.35">
      <c r="B15" s="14" t="s">
        <v>32</v>
      </c>
      <c r="C15" s="14" t="s">
        <v>33</v>
      </c>
      <c r="D15" s="14" t="s">
        <v>64</v>
      </c>
      <c r="E15" s="14" t="s">
        <v>73</v>
      </c>
      <c r="F15" s="14" t="s">
        <v>75</v>
      </c>
      <c r="G15" s="14" t="s">
        <v>70</v>
      </c>
      <c r="H15" s="14" t="s">
        <v>71</v>
      </c>
      <c r="I15" s="16" t="s">
        <v>83</v>
      </c>
      <c r="J15" s="16" t="s">
        <v>84</v>
      </c>
    </row>
    <row r="16" spans="1:10" x14ac:dyDescent="0.3">
      <c r="B16" s="10" t="s">
        <v>51</v>
      </c>
      <c r="C16" s="10" t="s">
        <v>3</v>
      </c>
      <c r="D16" s="10">
        <v>40</v>
      </c>
      <c r="E16" s="10">
        <v>4.4000000000000004</v>
      </c>
      <c r="F16" s="10">
        <v>40</v>
      </c>
      <c r="G16" s="18">
        <v>11.428571428571427</v>
      </c>
      <c r="H16" s="18">
        <v>9.9999999999999982</v>
      </c>
      <c r="I16" s="17">
        <f>F16-H16</f>
        <v>30</v>
      </c>
      <c r="J16" s="17">
        <f>F16+G16</f>
        <v>51.428571428571431</v>
      </c>
    </row>
    <row r="17" spans="2:10" x14ac:dyDescent="0.3">
      <c r="B17" s="10" t="s">
        <v>54</v>
      </c>
      <c r="C17" s="10" t="s">
        <v>5</v>
      </c>
      <c r="D17" s="10">
        <v>30</v>
      </c>
      <c r="E17" s="10">
        <v>2.8</v>
      </c>
      <c r="F17" s="10">
        <v>30</v>
      </c>
      <c r="G17" s="18">
        <v>19.999999999999996</v>
      </c>
      <c r="H17" s="18">
        <v>13.333333333333332</v>
      </c>
      <c r="I17" s="17">
        <f t="shared" ref="I17:I18" si="2">F17-H17</f>
        <v>16.666666666666668</v>
      </c>
      <c r="J17" s="17">
        <f t="shared" ref="J17:J18" si="3">F17+G17</f>
        <v>50</v>
      </c>
    </row>
    <row r="18" spans="2:10" ht="15" thickBot="1" x14ac:dyDescent="0.35">
      <c r="B18" s="8" t="s">
        <v>56</v>
      </c>
      <c r="C18" s="8" t="s">
        <v>13</v>
      </c>
      <c r="D18" s="8">
        <v>30</v>
      </c>
      <c r="E18" s="8">
        <v>6.8000000000000007</v>
      </c>
      <c r="F18" s="8">
        <v>30</v>
      </c>
      <c r="G18" s="19">
        <v>20</v>
      </c>
      <c r="H18" s="19">
        <v>7.2727272727272725</v>
      </c>
      <c r="I18" s="17">
        <f t="shared" si="2"/>
        <v>22.727272727272727</v>
      </c>
      <c r="J18" s="17">
        <f t="shared" si="3"/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3844F-A350-48DF-9728-8166A9500847}">
  <dimension ref="A1:J15"/>
  <sheetViews>
    <sheetView showGridLines="0" workbookViewId="0">
      <selection sqref="A1:A3"/>
    </sheetView>
  </sheetViews>
  <sheetFormatPr defaultRowHeight="14.4" x14ac:dyDescent="0.3"/>
  <cols>
    <col min="1" max="1" width="2.33203125" customWidth="1"/>
    <col min="2" max="2" width="8.6640625" bestFit="1" customWidth="1"/>
    <col min="3" max="3" width="8.33203125" bestFit="1" customWidth="1"/>
    <col min="4" max="4" width="7.5546875" bestFit="1" customWidth="1"/>
    <col min="5" max="5" width="2.33203125" customWidth="1"/>
    <col min="6" max="6" width="7.109375" bestFit="1" customWidth="1"/>
    <col min="7" max="7" width="12.6640625" bestFit="1" customWidth="1"/>
    <col min="8" max="8" width="2.33203125" customWidth="1"/>
    <col min="9" max="9" width="7.109375" bestFit="1" customWidth="1"/>
    <col min="10" max="10" width="12.6640625" bestFit="1" customWidth="1"/>
  </cols>
  <sheetData>
    <row r="1" spans="1:10" x14ac:dyDescent="0.3">
      <c r="A1" s="7" t="s">
        <v>76</v>
      </c>
    </row>
    <row r="2" spans="1:10" x14ac:dyDescent="0.3">
      <c r="A2" s="7" t="s">
        <v>21</v>
      </c>
    </row>
    <row r="3" spans="1:10" x14ac:dyDescent="0.3">
      <c r="A3" s="7" t="s">
        <v>22</v>
      </c>
    </row>
    <row r="5" spans="1:10" ht="15" thickBot="1" x14ac:dyDescent="0.35"/>
    <row r="6" spans="1:10" x14ac:dyDescent="0.3">
      <c r="B6" s="13"/>
      <c r="C6" s="13" t="s">
        <v>67</v>
      </c>
      <c r="D6" s="13"/>
    </row>
    <row r="7" spans="1:10" ht="15" thickBot="1" x14ac:dyDescent="0.35">
      <c r="B7" s="14" t="s">
        <v>32</v>
      </c>
      <c r="C7" s="14" t="s">
        <v>33</v>
      </c>
      <c r="D7" s="14" t="s">
        <v>64</v>
      </c>
    </row>
    <row r="8" spans="1:10" ht="15" thickBot="1" x14ac:dyDescent="0.35">
      <c r="B8" s="8" t="s">
        <v>43</v>
      </c>
      <c r="C8" s="8" t="s">
        <v>18</v>
      </c>
      <c r="D8" s="11">
        <v>464</v>
      </c>
    </row>
    <row r="10" spans="1:10" ht="15" thickBot="1" x14ac:dyDescent="0.35"/>
    <row r="11" spans="1:10" x14ac:dyDescent="0.3">
      <c r="B11" s="13"/>
      <c r="C11" s="13" t="s">
        <v>77</v>
      </c>
      <c r="D11" s="13"/>
      <c r="F11" s="13" t="s">
        <v>78</v>
      </c>
      <c r="G11" s="13" t="s">
        <v>67</v>
      </c>
      <c r="I11" s="13" t="s">
        <v>81</v>
      </c>
      <c r="J11" s="13" t="s">
        <v>67</v>
      </c>
    </row>
    <row r="12" spans="1:10" ht="15" thickBot="1" x14ac:dyDescent="0.35">
      <c r="B12" s="14" t="s">
        <v>32</v>
      </c>
      <c r="C12" s="14" t="s">
        <v>33</v>
      </c>
      <c r="D12" s="14" t="s">
        <v>64</v>
      </c>
      <c r="F12" s="14" t="s">
        <v>79</v>
      </c>
      <c r="G12" s="14" t="s">
        <v>80</v>
      </c>
      <c r="I12" s="14" t="s">
        <v>79</v>
      </c>
      <c r="J12" s="14" t="s">
        <v>80</v>
      </c>
    </row>
    <row r="13" spans="1:10" x14ac:dyDescent="0.3">
      <c r="B13" s="10" t="s">
        <v>44</v>
      </c>
      <c r="C13" s="10" t="s">
        <v>45</v>
      </c>
      <c r="D13" s="12">
        <v>4</v>
      </c>
      <c r="F13" s="12">
        <v>0</v>
      </c>
      <c r="G13" s="12">
        <v>336</v>
      </c>
      <c r="I13" s="12">
        <v>3.9999999999999947</v>
      </c>
      <c r="J13" s="12">
        <v>463.99999999999977</v>
      </c>
    </row>
    <row r="14" spans="1:10" x14ac:dyDescent="0.3">
      <c r="B14" s="10" t="s">
        <v>47</v>
      </c>
      <c r="C14" s="10" t="s">
        <v>48</v>
      </c>
      <c r="D14" s="12">
        <v>6</v>
      </c>
      <c r="F14" s="12">
        <v>0</v>
      </c>
      <c r="G14" s="12">
        <v>320</v>
      </c>
      <c r="I14" s="12">
        <v>6</v>
      </c>
      <c r="J14" s="12">
        <v>464</v>
      </c>
    </row>
    <row r="15" spans="1:10" ht="15" thickBot="1" x14ac:dyDescent="0.35">
      <c r="B15" s="8" t="s">
        <v>49</v>
      </c>
      <c r="C15" s="8" t="s">
        <v>50</v>
      </c>
      <c r="D15" s="11">
        <v>3.9999999999999996</v>
      </c>
      <c r="F15" s="11">
        <v>0</v>
      </c>
      <c r="G15" s="11">
        <v>272</v>
      </c>
      <c r="I15" s="11">
        <v>4</v>
      </c>
      <c r="J15" s="11">
        <v>464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612E2-1031-413A-A2AE-8CECCC104FE8}">
  <dimension ref="B2:M9"/>
  <sheetViews>
    <sheetView workbookViewId="0">
      <selection activeCell="L4" sqref="L4:L8"/>
    </sheetView>
  </sheetViews>
  <sheetFormatPr defaultRowHeight="14.4" x14ac:dyDescent="0.3"/>
  <cols>
    <col min="2" max="2" width="25.88671875" bestFit="1" customWidth="1"/>
    <col min="3" max="3" width="21" bestFit="1" customWidth="1"/>
    <col min="6" max="6" width="5.6640625" bestFit="1" customWidth="1"/>
    <col min="7" max="7" width="3" bestFit="1" customWidth="1"/>
    <col min="9" max="10" width="3" bestFit="1" customWidth="1"/>
  </cols>
  <sheetData>
    <row r="2" spans="2:13" x14ac:dyDescent="0.3">
      <c r="B2" s="1" t="s">
        <v>0</v>
      </c>
    </row>
    <row r="3" spans="2:13" x14ac:dyDescent="0.3">
      <c r="B3" t="s">
        <v>1</v>
      </c>
      <c r="C3" t="s">
        <v>2</v>
      </c>
      <c r="G3" s="3" t="s">
        <v>17</v>
      </c>
      <c r="H3" s="3" t="s">
        <v>15</v>
      </c>
      <c r="I3" s="3" t="s">
        <v>16</v>
      </c>
    </row>
    <row r="4" spans="2:13" x14ac:dyDescent="0.3">
      <c r="B4" t="s">
        <v>3</v>
      </c>
      <c r="C4" t="s">
        <v>4</v>
      </c>
      <c r="G4" s="4">
        <v>4</v>
      </c>
      <c r="H4" s="4">
        <v>6</v>
      </c>
      <c r="I4" s="4">
        <v>3.9999999999999996</v>
      </c>
      <c r="L4" t="s">
        <v>19</v>
      </c>
    </row>
    <row r="5" spans="2:13" x14ac:dyDescent="0.3">
      <c r="B5" t="s">
        <v>5</v>
      </c>
      <c r="C5" t="s">
        <v>6</v>
      </c>
      <c r="F5" t="s">
        <v>18</v>
      </c>
      <c r="G5" s="5">
        <v>32</v>
      </c>
      <c r="H5" s="5">
        <v>24</v>
      </c>
      <c r="I5" s="5">
        <v>48</v>
      </c>
      <c r="K5" t="s">
        <v>82</v>
      </c>
      <c r="L5" t="s">
        <v>18</v>
      </c>
      <c r="M5">
        <f>SUMPRODUCT(G4:I4,G5:I5)</f>
        <v>464</v>
      </c>
    </row>
    <row r="6" spans="2:13" x14ac:dyDescent="0.3">
      <c r="B6" t="s">
        <v>5</v>
      </c>
      <c r="C6" t="s">
        <v>7</v>
      </c>
      <c r="F6" t="s">
        <v>3</v>
      </c>
      <c r="G6" s="2">
        <v>2</v>
      </c>
      <c r="H6" s="2">
        <v>2</v>
      </c>
      <c r="I6" s="2">
        <v>5</v>
      </c>
      <c r="J6" s="2">
        <v>40</v>
      </c>
      <c r="K6">
        <f>J6-M6</f>
        <v>0</v>
      </c>
      <c r="L6" t="s">
        <v>3</v>
      </c>
      <c r="M6">
        <f>SUMPRODUCT(G4:I4,G6:I6)</f>
        <v>40</v>
      </c>
    </row>
    <row r="7" spans="2:13" x14ac:dyDescent="0.3">
      <c r="B7" t="s">
        <v>8</v>
      </c>
      <c r="C7" t="s">
        <v>9</v>
      </c>
      <c r="F7" t="s">
        <v>5</v>
      </c>
      <c r="G7" s="2">
        <v>1</v>
      </c>
      <c r="H7" s="2">
        <v>3</v>
      </c>
      <c r="I7" s="2">
        <v>2</v>
      </c>
      <c r="J7" s="2">
        <v>30</v>
      </c>
      <c r="K7">
        <f t="shared" ref="K7:K8" si="0">J7-M7</f>
        <v>0</v>
      </c>
      <c r="L7" t="s">
        <v>5</v>
      </c>
      <c r="M7">
        <f>SUMPRODUCT($G$4:$I$4,G7:I7)</f>
        <v>30</v>
      </c>
    </row>
    <row r="8" spans="2:13" x14ac:dyDescent="0.3">
      <c r="F8" t="s">
        <v>5</v>
      </c>
      <c r="G8" s="2">
        <v>3</v>
      </c>
      <c r="H8" s="2">
        <v>1</v>
      </c>
      <c r="I8" s="2">
        <v>3</v>
      </c>
      <c r="J8" s="2">
        <v>30</v>
      </c>
      <c r="K8">
        <f t="shared" si="0"/>
        <v>0</v>
      </c>
      <c r="L8" t="s">
        <v>13</v>
      </c>
      <c r="M8">
        <f>SUMPRODUCT($G$4:$I$4,G8:I8)</f>
        <v>30</v>
      </c>
    </row>
    <row r="9" spans="2:13" x14ac:dyDescent="0.3">
      <c r="F9" t="s">
        <v>8</v>
      </c>
      <c r="J9" s="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B6B30-B2F5-4D3A-A309-070B3FEEC52C}">
  <dimension ref="A1:G33"/>
  <sheetViews>
    <sheetView showGridLines="0" workbookViewId="0"/>
  </sheetViews>
  <sheetFormatPr defaultRowHeight="14.4" x14ac:dyDescent="0.3"/>
  <cols>
    <col min="1" max="1" width="2.33203125" customWidth="1"/>
    <col min="2" max="2" width="8.6640625" bestFit="1" customWidth="1"/>
    <col min="3" max="3" width="6.5546875" bestFit="1" customWidth="1"/>
    <col min="4" max="4" width="18.6640625" bestFit="1" customWidth="1"/>
    <col min="5" max="5" width="16.109375" bestFit="1" customWidth="1"/>
    <col min="6" max="6" width="10.33203125" bestFit="1" customWidth="1"/>
    <col min="7" max="7" width="10.88671875" bestFit="1" customWidth="1"/>
  </cols>
  <sheetData>
    <row r="1" spans="1:5" x14ac:dyDescent="0.3">
      <c r="A1" s="7" t="s">
        <v>20</v>
      </c>
    </row>
    <row r="2" spans="1:5" x14ac:dyDescent="0.3">
      <c r="A2" s="7" t="s">
        <v>87</v>
      </c>
    </row>
    <row r="3" spans="1:5" x14ac:dyDescent="0.3">
      <c r="A3" s="7" t="s">
        <v>88</v>
      </c>
    </row>
    <row r="4" spans="1:5" x14ac:dyDescent="0.3">
      <c r="A4" s="7" t="s">
        <v>23</v>
      </c>
    </row>
    <row r="5" spans="1:5" x14ac:dyDescent="0.3">
      <c r="A5" s="7" t="s">
        <v>24</v>
      </c>
    </row>
    <row r="6" spans="1:5" x14ac:dyDescent="0.3">
      <c r="A6" s="7"/>
      <c r="B6" t="s">
        <v>25</v>
      </c>
    </row>
    <row r="7" spans="1:5" x14ac:dyDescent="0.3">
      <c r="A7" s="7"/>
      <c r="B7" t="s">
        <v>89</v>
      </c>
    </row>
    <row r="8" spans="1:5" x14ac:dyDescent="0.3">
      <c r="A8" s="7"/>
      <c r="B8" t="s">
        <v>90</v>
      </c>
    </row>
    <row r="9" spans="1:5" x14ac:dyDescent="0.3">
      <c r="A9" s="7" t="s">
        <v>28</v>
      </c>
    </row>
    <row r="10" spans="1:5" x14ac:dyDescent="0.3">
      <c r="B10" t="s">
        <v>29</v>
      </c>
    </row>
    <row r="11" spans="1:5" x14ac:dyDescent="0.3">
      <c r="B11" t="s">
        <v>30</v>
      </c>
    </row>
    <row r="14" spans="1:5" ht="15" thickBot="1" x14ac:dyDescent="0.35">
      <c r="A14" t="s">
        <v>31</v>
      </c>
    </row>
    <row r="15" spans="1:5" ht="15" thickBot="1" x14ac:dyDescent="0.35">
      <c r="B15" s="9" t="s">
        <v>32</v>
      </c>
      <c r="C15" s="9" t="s">
        <v>33</v>
      </c>
      <c r="D15" s="9" t="s">
        <v>34</v>
      </c>
      <c r="E15" s="9" t="s">
        <v>35</v>
      </c>
    </row>
    <row r="16" spans="1:5" ht="15" thickBot="1" x14ac:dyDescent="0.35">
      <c r="B16" s="8" t="s">
        <v>43</v>
      </c>
      <c r="C16" s="8" t="s">
        <v>18</v>
      </c>
      <c r="D16" s="11">
        <v>0</v>
      </c>
      <c r="E16" s="11">
        <v>5600</v>
      </c>
    </row>
    <row r="19" spans="1:7" ht="15" thickBot="1" x14ac:dyDescent="0.35">
      <c r="A19" t="s">
        <v>36</v>
      </c>
    </row>
    <row r="20" spans="1:7" ht="15" thickBot="1" x14ac:dyDescent="0.35">
      <c r="B20" s="9" t="s">
        <v>32</v>
      </c>
      <c r="C20" s="9" t="s">
        <v>33</v>
      </c>
      <c r="D20" s="9" t="s">
        <v>34</v>
      </c>
      <c r="E20" s="9" t="s">
        <v>35</v>
      </c>
      <c r="F20" s="9" t="s">
        <v>37</v>
      </c>
    </row>
    <row r="21" spans="1:7" x14ac:dyDescent="0.3">
      <c r="B21" s="10" t="s">
        <v>44</v>
      </c>
      <c r="C21" s="10" t="s">
        <v>17</v>
      </c>
      <c r="D21" s="12">
        <v>0</v>
      </c>
      <c r="E21" s="12">
        <v>40.000000000000021</v>
      </c>
      <c r="F21" s="10" t="s">
        <v>46</v>
      </c>
    </row>
    <row r="22" spans="1:7" x14ac:dyDescent="0.3">
      <c r="B22" s="10" t="s">
        <v>47</v>
      </c>
      <c r="C22" s="10" t="s">
        <v>15</v>
      </c>
      <c r="D22" s="12">
        <v>0</v>
      </c>
      <c r="E22" s="12">
        <v>0</v>
      </c>
      <c r="F22" s="10" t="s">
        <v>46</v>
      </c>
    </row>
    <row r="23" spans="1:7" ht="15" thickBot="1" x14ac:dyDescent="0.35">
      <c r="B23" s="8" t="s">
        <v>49</v>
      </c>
      <c r="C23" s="8" t="s">
        <v>16</v>
      </c>
      <c r="D23" s="11">
        <v>0</v>
      </c>
      <c r="E23" s="11">
        <v>159.99999999999991</v>
      </c>
      <c r="F23" s="8" t="s">
        <v>46</v>
      </c>
    </row>
    <row r="26" spans="1:7" ht="15" thickBot="1" x14ac:dyDescent="0.35">
      <c r="A26" t="s">
        <v>38</v>
      </c>
    </row>
    <row r="27" spans="1:7" ht="15" thickBot="1" x14ac:dyDescent="0.35">
      <c r="B27" s="9" t="s">
        <v>32</v>
      </c>
      <c r="C27" s="9" t="s">
        <v>33</v>
      </c>
      <c r="D27" s="9" t="s">
        <v>39</v>
      </c>
      <c r="E27" s="9" t="s">
        <v>40</v>
      </c>
      <c r="F27" s="9" t="s">
        <v>41</v>
      </c>
      <c r="G27" s="9" t="s">
        <v>42</v>
      </c>
    </row>
    <row r="28" spans="1:7" x14ac:dyDescent="0.3">
      <c r="B28" s="10" t="s">
        <v>51</v>
      </c>
      <c r="C28" s="10" t="s">
        <v>3</v>
      </c>
      <c r="D28" s="12">
        <v>480.00000000000011</v>
      </c>
      <c r="E28" s="10" t="s">
        <v>52</v>
      </c>
      <c r="F28" s="10" t="s">
        <v>59</v>
      </c>
      <c r="G28" s="10">
        <v>479.99999999999989</v>
      </c>
    </row>
    <row r="29" spans="1:7" x14ac:dyDescent="0.3">
      <c r="B29" s="10" t="s">
        <v>54</v>
      </c>
      <c r="C29" s="10" t="s">
        <v>5</v>
      </c>
      <c r="D29" s="12">
        <v>800</v>
      </c>
      <c r="E29" s="10" t="s">
        <v>55</v>
      </c>
      <c r="F29" s="10" t="s">
        <v>53</v>
      </c>
      <c r="G29" s="10">
        <v>0</v>
      </c>
    </row>
    <row r="30" spans="1:7" x14ac:dyDescent="0.3">
      <c r="B30" s="10" t="s">
        <v>56</v>
      </c>
      <c r="C30" s="10" t="s">
        <v>13</v>
      </c>
      <c r="D30" s="12">
        <v>320</v>
      </c>
      <c r="E30" s="10" t="s">
        <v>57</v>
      </c>
      <c r="F30" s="10" t="s">
        <v>53</v>
      </c>
      <c r="G30" s="10">
        <v>0</v>
      </c>
    </row>
    <row r="31" spans="1:7" x14ac:dyDescent="0.3">
      <c r="B31" s="10" t="s">
        <v>44</v>
      </c>
      <c r="C31" s="10" t="s">
        <v>17</v>
      </c>
      <c r="D31" s="12">
        <v>40.000000000000021</v>
      </c>
      <c r="E31" s="10" t="s">
        <v>58</v>
      </c>
      <c r="F31" s="10" t="s">
        <v>59</v>
      </c>
      <c r="G31" s="12">
        <v>40.000000000000021</v>
      </c>
    </row>
    <row r="32" spans="1:7" x14ac:dyDescent="0.3">
      <c r="B32" s="10" t="s">
        <v>47</v>
      </c>
      <c r="C32" s="10" t="s">
        <v>15</v>
      </c>
      <c r="D32" s="12">
        <v>0</v>
      </c>
      <c r="E32" s="10" t="s">
        <v>60</v>
      </c>
      <c r="F32" s="10" t="s">
        <v>53</v>
      </c>
      <c r="G32" s="12">
        <v>0</v>
      </c>
    </row>
    <row r="33" spans="2:7" ht="15" thickBot="1" x14ac:dyDescent="0.35">
      <c r="B33" s="8" t="s">
        <v>49</v>
      </c>
      <c r="C33" s="8" t="s">
        <v>16</v>
      </c>
      <c r="D33" s="11">
        <v>159.99999999999991</v>
      </c>
      <c r="E33" s="8" t="s">
        <v>61</v>
      </c>
      <c r="F33" s="8" t="s">
        <v>59</v>
      </c>
      <c r="G33" s="11">
        <v>159.99999999999991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ABE23-BA50-4BBA-A63E-DCCCAAB44D93}">
  <dimension ref="A1:J18"/>
  <sheetViews>
    <sheetView showGridLines="0" workbookViewId="0">
      <selection activeCell="G16" sqref="G16"/>
    </sheetView>
  </sheetViews>
  <sheetFormatPr defaultRowHeight="14.4" x14ac:dyDescent="0.3"/>
  <cols>
    <col min="1" max="1" width="2.33203125" customWidth="1"/>
    <col min="2" max="2" width="8.6640625" bestFit="1" customWidth="1"/>
    <col min="3" max="3" width="6.5546875" bestFit="1" customWidth="1"/>
    <col min="4" max="4" width="8.77734375" bestFit="1" customWidth="1"/>
    <col min="5" max="5" width="11.33203125" bestFit="1" customWidth="1"/>
    <col min="6" max="6" width="12.6640625" bestFit="1" customWidth="1"/>
    <col min="7" max="8" width="12.33203125" bestFit="1" customWidth="1"/>
  </cols>
  <sheetData>
    <row r="1" spans="1:10" x14ac:dyDescent="0.3">
      <c r="A1" s="7" t="s">
        <v>62</v>
      </c>
    </row>
    <row r="2" spans="1:10" x14ac:dyDescent="0.3">
      <c r="A2" s="7" t="s">
        <v>87</v>
      </c>
    </row>
    <row r="3" spans="1:10" x14ac:dyDescent="0.3">
      <c r="A3" s="7" t="s">
        <v>88</v>
      </c>
    </row>
    <row r="6" spans="1:10" ht="15" thickBot="1" x14ac:dyDescent="0.35">
      <c r="A6" t="s">
        <v>36</v>
      </c>
    </row>
    <row r="7" spans="1:10" x14ac:dyDescent="0.3">
      <c r="B7" s="13"/>
      <c r="C7" s="13"/>
      <c r="D7" s="13" t="s">
        <v>63</v>
      </c>
      <c r="E7" s="13" t="s">
        <v>65</v>
      </c>
      <c r="F7" s="13" t="s">
        <v>67</v>
      </c>
      <c r="G7" s="13" t="s">
        <v>69</v>
      </c>
      <c r="H7" s="13" t="s">
        <v>69</v>
      </c>
    </row>
    <row r="8" spans="1:10" ht="15" thickBot="1" x14ac:dyDescent="0.35">
      <c r="B8" s="14" t="s">
        <v>32</v>
      </c>
      <c r="C8" s="14" t="s">
        <v>33</v>
      </c>
      <c r="D8" s="14" t="s">
        <v>64</v>
      </c>
      <c r="E8" s="14" t="s">
        <v>66</v>
      </c>
      <c r="F8" s="14" t="s">
        <v>68</v>
      </c>
      <c r="G8" s="14" t="s">
        <v>70</v>
      </c>
      <c r="H8" s="14" t="s">
        <v>71</v>
      </c>
      <c r="I8" s="16" t="s">
        <v>83</v>
      </c>
      <c r="J8" s="16" t="s">
        <v>92</v>
      </c>
    </row>
    <row r="9" spans="1:10" x14ac:dyDescent="0.3">
      <c r="B9" s="10" t="s">
        <v>44</v>
      </c>
      <c r="C9" s="10" t="s">
        <v>17</v>
      </c>
      <c r="D9" s="10">
        <v>40.000000000000021</v>
      </c>
      <c r="E9" s="10">
        <v>0</v>
      </c>
      <c r="F9" s="10">
        <v>60</v>
      </c>
      <c r="G9" s="10">
        <v>19.999999999999996</v>
      </c>
      <c r="H9" s="10">
        <v>4.0000000000000018</v>
      </c>
      <c r="I9">
        <f>F9-H9</f>
        <v>56</v>
      </c>
      <c r="J9">
        <f>F9+G9</f>
        <v>80</v>
      </c>
    </row>
    <row r="10" spans="1:10" x14ac:dyDescent="0.3">
      <c r="B10" s="10" t="s">
        <v>47</v>
      </c>
      <c r="C10" s="10" t="s">
        <v>15</v>
      </c>
      <c r="D10" s="10">
        <v>0</v>
      </c>
      <c r="E10" s="10">
        <v>-5.0000000000000018</v>
      </c>
      <c r="F10" s="10">
        <v>30</v>
      </c>
      <c r="G10" s="10">
        <v>5.0000000000000018</v>
      </c>
      <c r="H10" s="10">
        <v>1E+30</v>
      </c>
      <c r="I10">
        <f t="shared" ref="I10:I11" si="0">F10-H10</f>
        <v>-1E+30</v>
      </c>
      <c r="J10">
        <f t="shared" ref="J10:J11" si="1">F10+G10</f>
        <v>35</v>
      </c>
    </row>
    <row r="11" spans="1:10" ht="15" thickBot="1" x14ac:dyDescent="0.35">
      <c r="B11" s="8" t="s">
        <v>49</v>
      </c>
      <c r="C11" s="8" t="s">
        <v>16</v>
      </c>
      <c r="D11" s="8">
        <v>159.99999999999991</v>
      </c>
      <c r="E11" s="8">
        <v>0</v>
      </c>
      <c r="F11" s="8">
        <v>20</v>
      </c>
      <c r="G11" s="8">
        <v>2.5000000000000018</v>
      </c>
      <c r="H11" s="8">
        <v>4.9999999999999991</v>
      </c>
      <c r="I11">
        <f t="shared" si="0"/>
        <v>15</v>
      </c>
      <c r="J11">
        <f t="shared" si="1"/>
        <v>22.5</v>
      </c>
    </row>
    <row r="13" spans="1:10" ht="15" thickBot="1" x14ac:dyDescent="0.35">
      <c r="A13" t="s">
        <v>38</v>
      </c>
    </row>
    <row r="14" spans="1:10" x14ac:dyDescent="0.3">
      <c r="B14" s="13"/>
      <c r="C14" s="13"/>
      <c r="D14" s="13" t="s">
        <v>63</v>
      </c>
      <c r="E14" s="13" t="s">
        <v>72</v>
      </c>
      <c r="F14" s="13" t="s">
        <v>74</v>
      </c>
      <c r="G14" s="13" t="s">
        <v>69</v>
      </c>
      <c r="H14" s="13" t="s">
        <v>69</v>
      </c>
    </row>
    <row r="15" spans="1:10" ht="15" thickBot="1" x14ac:dyDescent="0.35">
      <c r="B15" s="14" t="s">
        <v>32</v>
      </c>
      <c r="C15" s="14" t="s">
        <v>33</v>
      </c>
      <c r="D15" s="14" t="s">
        <v>64</v>
      </c>
      <c r="E15" s="14" t="s">
        <v>73</v>
      </c>
      <c r="F15" s="14" t="s">
        <v>75</v>
      </c>
      <c r="G15" s="14" t="s">
        <v>70</v>
      </c>
      <c r="H15" s="14" t="s">
        <v>71</v>
      </c>
      <c r="I15" s="16" t="s">
        <v>83</v>
      </c>
      <c r="J15" s="16" t="s">
        <v>92</v>
      </c>
    </row>
    <row r="16" spans="1:10" x14ac:dyDescent="0.3">
      <c r="B16" s="10" t="s">
        <v>51</v>
      </c>
      <c r="C16" s="10" t="s">
        <v>3</v>
      </c>
      <c r="D16" s="10">
        <v>480.00000000000011</v>
      </c>
      <c r="E16" s="10">
        <v>0</v>
      </c>
      <c r="F16" s="10">
        <v>960</v>
      </c>
      <c r="G16" s="10">
        <v>1E+30</v>
      </c>
      <c r="H16" s="10">
        <v>479.99999999999989</v>
      </c>
      <c r="I16">
        <f>D16-H16</f>
        <v>0</v>
      </c>
      <c r="J16">
        <f>D16+G16</f>
        <v>1E+30</v>
      </c>
    </row>
    <row r="17" spans="2:10" x14ac:dyDescent="0.3">
      <c r="B17" s="10" t="s">
        <v>54</v>
      </c>
      <c r="C17" s="10" t="s">
        <v>5</v>
      </c>
      <c r="D17" s="10">
        <v>800</v>
      </c>
      <c r="E17" s="10">
        <v>4.9999999999999982</v>
      </c>
      <c r="F17" s="10">
        <v>800</v>
      </c>
      <c r="G17" s="10">
        <v>160.00000000000011</v>
      </c>
      <c r="H17" s="10">
        <v>159.99999999999994</v>
      </c>
      <c r="I17">
        <f t="shared" ref="I17:I18" si="2">D17-H17</f>
        <v>640</v>
      </c>
      <c r="J17">
        <f t="shared" ref="J17:J18" si="3">D17+G17</f>
        <v>960.00000000000011</v>
      </c>
    </row>
    <row r="18" spans="2:10" ht="15" thickBot="1" x14ac:dyDescent="0.35">
      <c r="B18" s="8" t="s">
        <v>56</v>
      </c>
      <c r="C18" s="8" t="s">
        <v>13</v>
      </c>
      <c r="D18" s="8">
        <v>320</v>
      </c>
      <c r="E18" s="8">
        <v>5.0000000000000027</v>
      </c>
      <c r="F18" s="8">
        <v>320</v>
      </c>
      <c r="G18" s="8">
        <v>79.999999999999972</v>
      </c>
      <c r="H18" s="8">
        <v>53.333333333333371</v>
      </c>
      <c r="I18">
        <f t="shared" si="2"/>
        <v>266.66666666666663</v>
      </c>
      <c r="J18">
        <f t="shared" si="3"/>
        <v>400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686A8-5CA9-4D95-ABAA-1390F04EF3ED}">
  <dimension ref="A1:J15"/>
  <sheetViews>
    <sheetView showGridLines="0" workbookViewId="0">
      <selection sqref="A1:A3"/>
    </sheetView>
  </sheetViews>
  <sheetFormatPr defaultRowHeight="14.4" x14ac:dyDescent="0.3"/>
  <cols>
    <col min="1" max="1" width="2.33203125" customWidth="1"/>
    <col min="2" max="2" width="8.6640625" bestFit="1" customWidth="1"/>
    <col min="3" max="3" width="8.33203125" bestFit="1" customWidth="1"/>
    <col min="4" max="4" width="7.5546875" bestFit="1" customWidth="1"/>
    <col min="5" max="5" width="2.33203125" customWidth="1"/>
    <col min="6" max="6" width="7.109375" bestFit="1" customWidth="1"/>
    <col min="7" max="7" width="12.6640625" bestFit="1" customWidth="1"/>
    <col min="8" max="8" width="2.33203125" customWidth="1"/>
    <col min="9" max="9" width="7.109375" bestFit="1" customWidth="1"/>
    <col min="10" max="10" width="12.6640625" bestFit="1" customWidth="1"/>
  </cols>
  <sheetData>
    <row r="1" spans="1:10" x14ac:dyDescent="0.3">
      <c r="A1" s="7" t="s">
        <v>76</v>
      </c>
    </row>
    <row r="2" spans="1:10" x14ac:dyDescent="0.3">
      <c r="A2" s="7" t="s">
        <v>87</v>
      </c>
    </row>
    <row r="3" spans="1:10" x14ac:dyDescent="0.3">
      <c r="A3" s="7" t="s">
        <v>91</v>
      </c>
    </row>
    <row r="5" spans="1:10" ht="15" thickBot="1" x14ac:dyDescent="0.35"/>
    <row r="6" spans="1:10" x14ac:dyDescent="0.3">
      <c r="B6" s="13"/>
      <c r="C6" s="13" t="s">
        <v>67</v>
      </c>
      <c r="D6" s="13"/>
    </row>
    <row r="7" spans="1:10" ht="15" thickBot="1" x14ac:dyDescent="0.35">
      <c r="B7" s="14" t="s">
        <v>32</v>
      </c>
      <c r="C7" s="14" t="s">
        <v>33</v>
      </c>
      <c r="D7" s="14" t="s">
        <v>64</v>
      </c>
    </row>
    <row r="8" spans="1:10" ht="15" thickBot="1" x14ac:dyDescent="0.35">
      <c r="B8" s="8" t="s">
        <v>43</v>
      </c>
      <c r="C8" s="8" t="s">
        <v>18</v>
      </c>
      <c r="D8" s="11">
        <v>5600</v>
      </c>
    </row>
    <row r="10" spans="1:10" ht="15" thickBot="1" x14ac:dyDescent="0.35"/>
    <row r="11" spans="1:10" x14ac:dyDescent="0.3">
      <c r="B11" s="13"/>
      <c r="C11" s="13" t="s">
        <v>77</v>
      </c>
      <c r="D11" s="13"/>
      <c r="F11" s="13" t="s">
        <v>78</v>
      </c>
      <c r="G11" s="13" t="s">
        <v>67</v>
      </c>
      <c r="I11" s="13" t="s">
        <v>81</v>
      </c>
      <c r="J11" s="13" t="s">
        <v>67</v>
      </c>
    </row>
    <row r="12" spans="1:10" ht="15" thickBot="1" x14ac:dyDescent="0.35">
      <c r="B12" s="14" t="s">
        <v>32</v>
      </c>
      <c r="C12" s="14" t="s">
        <v>33</v>
      </c>
      <c r="D12" s="14" t="s">
        <v>64</v>
      </c>
      <c r="F12" s="14" t="s">
        <v>79</v>
      </c>
      <c r="G12" s="14" t="s">
        <v>80</v>
      </c>
      <c r="I12" s="14" t="s">
        <v>79</v>
      </c>
      <c r="J12" s="14" t="s">
        <v>80</v>
      </c>
    </row>
    <row r="13" spans="1:10" x14ac:dyDescent="0.3">
      <c r="B13" s="10" t="s">
        <v>44</v>
      </c>
      <c r="C13" s="10" t="s">
        <v>17</v>
      </c>
      <c r="D13" s="12">
        <v>40.000000000000021</v>
      </c>
      <c r="F13" s="12">
        <v>0</v>
      </c>
      <c r="G13" s="12">
        <v>3199.9999999999982</v>
      </c>
      <c r="I13" s="12">
        <v>40.000000000000021</v>
      </c>
      <c r="J13" s="12">
        <v>5600</v>
      </c>
    </row>
    <row r="14" spans="1:10" x14ac:dyDescent="0.3">
      <c r="B14" s="10" t="s">
        <v>47</v>
      </c>
      <c r="C14" s="10" t="s">
        <v>15</v>
      </c>
      <c r="D14" s="12">
        <v>0</v>
      </c>
      <c r="F14" s="12">
        <v>0</v>
      </c>
      <c r="G14" s="12">
        <v>5600</v>
      </c>
      <c r="I14" s="12">
        <v>0</v>
      </c>
      <c r="J14" s="12">
        <v>5600</v>
      </c>
    </row>
    <row r="15" spans="1:10" ht="15" thickBot="1" x14ac:dyDescent="0.35">
      <c r="B15" s="8" t="s">
        <v>49</v>
      </c>
      <c r="C15" s="8" t="s">
        <v>16</v>
      </c>
      <c r="D15" s="11">
        <v>159.99999999999991</v>
      </c>
      <c r="F15" s="11">
        <v>0</v>
      </c>
      <c r="G15" s="11">
        <v>2400.0000000000014</v>
      </c>
      <c r="I15" s="11">
        <v>159.99999999999991</v>
      </c>
      <c r="J15" s="11">
        <v>5600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3966-98B2-4543-9D8A-CB5C67C315D5}">
  <dimension ref="B3:M9"/>
  <sheetViews>
    <sheetView workbookViewId="0">
      <selection activeCell="J14" sqref="J14"/>
    </sheetView>
  </sheetViews>
  <sheetFormatPr defaultRowHeight="14.4" x14ac:dyDescent="0.3"/>
  <cols>
    <col min="2" max="2" width="5.6640625" bestFit="1" customWidth="1"/>
    <col min="3" max="3" width="21" bestFit="1" customWidth="1"/>
    <col min="6" max="6" width="5.6640625" bestFit="1" customWidth="1"/>
    <col min="7" max="7" width="3" bestFit="1" customWidth="1"/>
    <col min="9" max="10" width="4" bestFit="1" customWidth="1"/>
  </cols>
  <sheetData>
    <row r="3" spans="2:13" x14ac:dyDescent="0.3">
      <c r="B3" t="s">
        <v>1</v>
      </c>
      <c r="C3" t="s">
        <v>10</v>
      </c>
      <c r="G3" s="3" t="s">
        <v>17</v>
      </c>
      <c r="H3" s="3" t="s">
        <v>15</v>
      </c>
      <c r="I3" s="3" t="s">
        <v>16</v>
      </c>
    </row>
    <row r="4" spans="2:13" x14ac:dyDescent="0.3">
      <c r="G4" s="3">
        <v>40.000000000000021</v>
      </c>
      <c r="H4" s="3">
        <v>0</v>
      </c>
      <c r="I4" s="3">
        <v>159.99999999999991</v>
      </c>
      <c r="L4" t="s">
        <v>19</v>
      </c>
    </row>
    <row r="5" spans="2:13" x14ac:dyDescent="0.3">
      <c r="B5" t="s">
        <v>3</v>
      </c>
      <c r="C5" t="s">
        <v>11</v>
      </c>
      <c r="F5" t="s">
        <v>18</v>
      </c>
      <c r="G5" s="3">
        <v>60</v>
      </c>
      <c r="H5" s="3">
        <v>30</v>
      </c>
      <c r="I5" s="3">
        <v>20</v>
      </c>
      <c r="L5" t="s">
        <v>18</v>
      </c>
      <c r="M5">
        <f>SUMPRODUCT(G4:I4,G5:I5)</f>
        <v>5600</v>
      </c>
    </row>
    <row r="6" spans="2:13" x14ac:dyDescent="0.3">
      <c r="B6" t="s">
        <v>5</v>
      </c>
      <c r="C6" t="s">
        <v>12</v>
      </c>
      <c r="F6" t="s">
        <v>3</v>
      </c>
      <c r="G6" s="3">
        <v>8</v>
      </c>
      <c r="H6" s="3">
        <v>6</v>
      </c>
      <c r="I6" s="3">
        <v>1</v>
      </c>
      <c r="J6">
        <v>960</v>
      </c>
      <c r="L6" t="s">
        <v>3</v>
      </c>
      <c r="M6">
        <f>SUMPRODUCT($G$4:$I$4,G6:I6)</f>
        <v>480.00000000000011</v>
      </c>
    </row>
    <row r="7" spans="2:13" x14ac:dyDescent="0.3">
      <c r="B7" t="s">
        <v>13</v>
      </c>
      <c r="C7" t="s">
        <v>14</v>
      </c>
      <c r="F7" t="s">
        <v>5</v>
      </c>
      <c r="G7" s="3">
        <v>8</v>
      </c>
      <c r="H7" s="3">
        <v>4</v>
      </c>
      <c r="I7" s="3">
        <v>3</v>
      </c>
      <c r="J7">
        <v>800</v>
      </c>
      <c r="L7" t="s">
        <v>5</v>
      </c>
      <c r="M7">
        <f t="shared" ref="M7:M8" si="0">SUMPRODUCT($G$4:$I$4,G7:I7)</f>
        <v>800</v>
      </c>
    </row>
    <row r="8" spans="2:13" x14ac:dyDescent="0.3">
      <c r="F8" t="s">
        <v>13</v>
      </c>
      <c r="G8" s="3">
        <v>4</v>
      </c>
      <c r="H8" s="3">
        <v>3</v>
      </c>
      <c r="I8" s="3">
        <v>1</v>
      </c>
      <c r="J8">
        <v>320</v>
      </c>
      <c r="L8" t="s">
        <v>13</v>
      </c>
      <c r="M8">
        <f t="shared" si="0"/>
        <v>320</v>
      </c>
    </row>
    <row r="9" spans="2:13" x14ac:dyDescent="0.3">
      <c r="B9" t="s">
        <v>8</v>
      </c>
      <c r="C9" t="s">
        <v>9</v>
      </c>
      <c r="F9" t="s">
        <v>8</v>
      </c>
      <c r="G9" s="3"/>
      <c r="H9" s="3"/>
      <c r="I9" s="3"/>
      <c r="J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7DCAA-DFDA-40E9-A1DA-12F30F6B8D22}">
  <dimension ref="A1:G32"/>
  <sheetViews>
    <sheetView showGridLines="0" workbookViewId="0"/>
  </sheetViews>
  <sheetFormatPr defaultRowHeight="14.4" x14ac:dyDescent="0.3"/>
  <cols>
    <col min="1" max="1" width="2.33203125" customWidth="1"/>
    <col min="2" max="2" width="8.6640625" bestFit="1" customWidth="1"/>
    <col min="3" max="3" width="31.44140625" bestFit="1" customWidth="1"/>
    <col min="4" max="4" width="18.6640625" bestFit="1" customWidth="1"/>
    <col min="5" max="5" width="16.109375" bestFit="1" customWidth="1"/>
    <col min="6" max="6" width="10.33203125" bestFit="1" customWidth="1"/>
    <col min="7" max="7" width="10.88671875" bestFit="1" customWidth="1"/>
  </cols>
  <sheetData>
    <row r="1" spans="1:5" x14ac:dyDescent="0.3">
      <c r="A1" s="7" t="s">
        <v>20</v>
      </c>
    </row>
    <row r="2" spans="1:5" x14ac:dyDescent="0.3">
      <c r="A2" s="7" t="s">
        <v>105</v>
      </c>
    </row>
    <row r="3" spans="1:5" x14ac:dyDescent="0.3">
      <c r="A3" s="7" t="s">
        <v>106</v>
      </c>
    </row>
    <row r="4" spans="1:5" x14ac:dyDescent="0.3">
      <c r="A4" s="7" t="s">
        <v>23</v>
      </c>
    </row>
    <row r="5" spans="1:5" x14ac:dyDescent="0.3">
      <c r="A5" s="7" t="s">
        <v>24</v>
      </c>
    </row>
    <row r="6" spans="1:5" x14ac:dyDescent="0.3">
      <c r="A6" s="7"/>
      <c r="B6" t="s">
        <v>25</v>
      </c>
    </row>
    <row r="7" spans="1:5" x14ac:dyDescent="0.3">
      <c r="A7" s="7"/>
      <c r="B7" t="s">
        <v>26</v>
      </c>
    </row>
    <row r="8" spans="1:5" x14ac:dyDescent="0.3">
      <c r="A8" s="7"/>
      <c r="B8" t="s">
        <v>90</v>
      </c>
    </row>
    <row r="9" spans="1:5" x14ac:dyDescent="0.3">
      <c r="A9" s="7" t="s">
        <v>28</v>
      </c>
    </row>
    <row r="10" spans="1:5" x14ac:dyDescent="0.3">
      <c r="B10" t="s">
        <v>29</v>
      </c>
    </row>
    <row r="11" spans="1:5" x14ac:dyDescent="0.3">
      <c r="B11" t="s">
        <v>30</v>
      </c>
    </row>
    <row r="14" spans="1:5" ht="15" thickBot="1" x14ac:dyDescent="0.35">
      <c r="A14" t="s">
        <v>107</v>
      </c>
    </row>
    <row r="15" spans="1:5" ht="15" thickBot="1" x14ac:dyDescent="0.35">
      <c r="B15" s="9" t="s">
        <v>32</v>
      </c>
      <c r="C15" s="9" t="s">
        <v>33</v>
      </c>
      <c r="D15" s="9" t="s">
        <v>34</v>
      </c>
      <c r="E15" s="9" t="s">
        <v>35</v>
      </c>
    </row>
    <row r="16" spans="1:5" ht="15" thickBot="1" x14ac:dyDescent="0.35">
      <c r="B16" s="8" t="s">
        <v>108</v>
      </c>
      <c r="C16" s="8" t="s">
        <v>100</v>
      </c>
      <c r="D16" s="11">
        <v>0</v>
      </c>
      <c r="E16" s="11">
        <v>20000</v>
      </c>
    </row>
    <row r="19" spans="1:7" ht="15" thickBot="1" x14ac:dyDescent="0.35">
      <c r="A19" t="s">
        <v>36</v>
      </c>
    </row>
    <row r="20" spans="1:7" ht="15" thickBot="1" x14ac:dyDescent="0.35">
      <c r="B20" s="9" t="s">
        <v>32</v>
      </c>
      <c r="C20" s="9" t="s">
        <v>33</v>
      </c>
      <c r="D20" s="9" t="s">
        <v>34</v>
      </c>
      <c r="E20" s="9" t="s">
        <v>35</v>
      </c>
      <c r="F20" s="9" t="s">
        <v>37</v>
      </c>
    </row>
    <row r="21" spans="1:7" x14ac:dyDescent="0.3">
      <c r="B21" s="10" t="s">
        <v>109</v>
      </c>
      <c r="C21" s="10" t="s">
        <v>110</v>
      </c>
      <c r="D21" s="12">
        <v>0</v>
      </c>
      <c r="E21" s="12">
        <v>20</v>
      </c>
      <c r="F21" s="10" t="s">
        <v>46</v>
      </c>
    </row>
    <row r="22" spans="1:7" x14ac:dyDescent="0.3">
      <c r="B22" s="10" t="s">
        <v>111</v>
      </c>
      <c r="C22" s="10" t="s">
        <v>112</v>
      </c>
      <c r="D22" s="12">
        <v>0</v>
      </c>
      <c r="E22" s="12">
        <v>0</v>
      </c>
      <c r="F22" s="10" t="s">
        <v>46</v>
      </c>
    </row>
    <row r="23" spans="1:7" ht="15" thickBot="1" x14ac:dyDescent="0.35">
      <c r="B23" s="8" t="s">
        <v>113</v>
      </c>
      <c r="C23" s="8" t="s">
        <v>114</v>
      </c>
      <c r="D23" s="11">
        <v>0</v>
      </c>
      <c r="E23" s="11">
        <v>0</v>
      </c>
      <c r="F23" s="8" t="s">
        <v>46</v>
      </c>
    </row>
    <row r="26" spans="1:7" ht="15" thickBot="1" x14ac:dyDescent="0.35">
      <c r="A26" t="s">
        <v>38</v>
      </c>
    </row>
    <row r="27" spans="1:7" ht="15" thickBot="1" x14ac:dyDescent="0.35">
      <c r="B27" s="9" t="s">
        <v>32</v>
      </c>
      <c r="C27" s="9" t="s">
        <v>33</v>
      </c>
      <c r="D27" s="9" t="s">
        <v>39</v>
      </c>
      <c r="E27" s="9" t="s">
        <v>40</v>
      </c>
      <c r="F27" s="9" t="s">
        <v>41</v>
      </c>
      <c r="G27" s="9" t="s">
        <v>42</v>
      </c>
    </row>
    <row r="28" spans="1:7" x14ac:dyDescent="0.3">
      <c r="B28" s="10" t="s">
        <v>115</v>
      </c>
      <c r="C28" s="10" t="s">
        <v>104</v>
      </c>
      <c r="D28" s="12">
        <v>40</v>
      </c>
      <c r="E28" s="10" t="s">
        <v>116</v>
      </c>
      <c r="F28" s="10" t="s">
        <v>59</v>
      </c>
      <c r="G28" s="12">
        <v>10</v>
      </c>
    </row>
    <row r="29" spans="1:7" x14ac:dyDescent="0.3">
      <c r="B29" s="10" t="s">
        <v>117</v>
      </c>
      <c r="C29" s="10" t="s">
        <v>102</v>
      </c>
      <c r="D29" s="12">
        <v>20</v>
      </c>
      <c r="E29" s="10" t="s">
        <v>118</v>
      </c>
      <c r="F29" s="10" t="s">
        <v>53</v>
      </c>
      <c r="G29" s="12">
        <v>0</v>
      </c>
    </row>
    <row r="30" spans="1:7" x14ac:dyDescent="0.3">
      <c r="B30" s="10" t="s">
        <v>109</v>
      </c>
      <c r="C30" s="10" t="s">
        <v>110</v>
      </c>
      <c r="D30" s="12">
        <v>20</v>
      </c>
      <c r="E30" s="10" t="s">
        <v>119</v>
      </c>
      <c r="F30" s="10" t="s">
        <v>59</v>
      </c>
      <c r="G30" s="12">
        <v>20</v>
      </c>
    </row>
    <row r="31" spans="1:7" x14ac:dyDescent="0.3">
      <c r="B31" s="10" t="s">
        <v>111</v>
      </c>
      <c r="C31" s="10" t="s">
        <v>112</v>
      </c>
      <c r="D31" s="12">
        <v>0</v>
      </c>
      <c r="E31" s="10" t="s">
        <v>120</v>
      </c>
      <c r="F31" s="10" t="s">
        <v>53</v>
      </c>
      <c r="G31" s="12">
        <v>0</v>
      </c>
    </row>
    <row r="32" spans="1:7" ht="15" thickBot="1" x14ac:dyDescent="0.35">
      <c r="B32" s="8" t="s">
        <v>113</v>
      </c>
      <c r="C32" s="8" t="s">
        <v>114</v>
      </c>
      <c r="D32" s="11">
        <v>0</v>
      </c>
      <c r="E32" s="8" t="s">
        <v>121</v>
      </c>
      <c r="F32" s="8" t="s">
        <v>53</v>
      </c>
      <c r="G32" s="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5CC63-BE35-4114-80A0-14B2B9D01E41}">
  <dimension ref="A1:J17"/>
  <sheetViews>
    <sheetView showGridLines="0" workbookViewId="0">
      <selection activeCell="M11" sqref="M11"/>
    </sheetView>
  </sheetViews>
  <sheetFormatPr defaultRowHeight="14.4" x14ac:dyDescent="0.3"/>
  <cols>
    <col min="1" max="1" width="2.33203125" customWidth="1"/>
    <col min="2" max="2" width="8.6640625" bestFit="1" customWidth="1"/>
    <col min="3" max="3" width="31.44140625" bestFit="1" customWidth="1"/>
    <col min="4" max="4" width="8.77734375" bestFit="1" customWidth="1"/>
    <col min="5" max="5" width="11.33203125" bestFit="1" customWidth="1"/>
    <col min="6" max="6" width="12.6640625" bestFit="1" customWidth="1"/>
    <col min="7" max="8" width="12.33203125" bestFit="1" customWidth="1"/>
  </cols>
  <sheetData>
    <row r="1" spans="1:10" x14ac:dyDescent="0.3">
      <c r="A1" s="7" t="s">
        <v>62</v>
      </c>
    </row>
    <row r="2" spans="1:10" x14ac:dyDescent="0.3">
      <c r="A2" s="7" t="s">
        <v>105</v>
      </c>
    </row>
    <row r="3" spans="1:10" x14ac:dyDescent="0.3">
      <c r="A3" s="7" t="s">
        <v>122</v>
      </c>
    </row>
    <row r="6" spans="1:10" ht="15" thickBot="1" x14ac:dyDescent="0.35">
      <c r="A6" t="s">
        <v>36</v>
      </c>
    </row>
    <row r="7" spans="1:10" x14ac:dyDescent="0.3">
      <c r="B7" s="13"/>
      <c r="C7" s="13"/>
      <c r="D7" s="13" t="s">
        <v>63</v>
      </c>
      <c r="E7" s="13" t="s">
        <v>65</v>
      </c>
      <c r="F7" s="13" t="s">
        <v>67</v>
      </c>
      <c r="G7" s="13" t="s">
        <v>69</v>
      </c>
      <c r="H7" s="13" t="s">
        <v>69</v>
      </c>
    </row>
    <row r="8" spans="1:10" ht="15" thickBot="1" x14ac:dyDescent="0.35">
      <c r="B8" s="14" t="s">
        <v>32</v>
      </c>
      <c r="C8" s="14" t="s">
        <v>33</v>
      </c>
      <c r="D8" s="14" t="s">
        <v>64</v>
      </c>
      <c r="E8" s="14" t="s">
        <v>66</v>
      </c>
      <c r="F8" s="14" t="s">
        <v>68</v>
      </c>
      <c r="G8" s="14" t="s">
        <v>70</v>
      </c>
      <c r="H8" s="14" t="s">
        <v>71</v>
      </c>
      <c r="I8" s="16" t="s">
        <v>83</v>
      </c>
      <c r="J8" s="16" t="s">
        <v>84</v>
      </c>
    </row>
    <row r="9" spans="1:10" x14ac:dyDescent="0.3">
      <c r="B9" s="10" t="s">
        <v>109</v>
      </c>
      <c r="C9" s="10" t="s">
        <v>110</v>
      </c>
      <c r="D9" s="10">
        <v>20</v>
      </c>
      <c r="E9" s="10">
        <v>0</v>
      </c>
      <c r="F9" s="10">
        <v>1000</v>
      </c>
      <c r="G9" s="10">
        <v>7000</v>
      </c>
      <c r="H9" s="10">
        <v>1000</v>
      </c>
      <c r="I9">
        <f>F9-H9</f>
        <v>0</v>
      </c>
      <c r="J9">
        <f>F9+G9</f>
        <v>8000</v>
      </c>
    </row>
    <row r="10" spans="1:10" x14ac:dyDescent="0.3">
      <c r="B10" s="10" t="s">
        <v>111</v>
      </c>
      <c r="C10" s="10" t="s">
        <v>112</v>
      </c>
      <c r="D10" s="10">
        <v>0</v>
      </c>
      <c r="E10" s="10">
        <v>21000</v>
      </c>
      <c r="F10" s="10">
        <v>24000</v>
      </c>
      <c r="G10" s="10">
        <v>1E+30</v>
      </c>
      <c r="H10" s="10">
        <v>21000</v>
      </c>
      <c r="I10">
        <f t="shared" ref="I10:I11" si="0">F10-H10</f>
        <v>3000</v>
      </c>
      <c r="J10">
        <f t="shared" ref="J10:J11" si="1">F10+G10</f>
        <v>1E+30</v>
      </c>
    </row>
    <row r="11" spans="1:10" ht="15" thickBot="1" x14ac:dyDescent="0.35">
      <c r="B11" s="8" t="s">
        <v>113</v>
      </c>
      <c r="C11" s="8" t="s">
        <v>114</v>
      </c>
      <c r="D11" s="8">
        <v>0</v>
      </c>
      <c r="E11" s="8">
        <v>600</v>
      </c>
      <c r="F11" s="8">
        <v>600</v>
      </c>
      <c r="G11" s="8">
        <v>1E+30</v>
      </c>
      <c r="H11" s="8">
        <v>600</v>
      </c>
      <c r="I11">
        <f t="shared" si="0"/>
        <v>0</v>
      </c>
      <c r="J11">
        <f t="shared" si="1"/>
        <v>1E+30</v>
      </c>
    </row>
    <row r="13" spans="1:10" ht="15" thickBot="1" x14ac:dyDescent="0.35">
      <c r="A13" t="s">
        <v>38</v>
      </c>
    </row>
    <row r="14" spans="1:10" x14ac:dyDescent="0.3">
      <c r="B14" s="13"/>
      <c r="C14" s="13"/>
      <c r="D14" s="13" t="s">
        <v>63</v>
      </c>
      <c r="E14" s="13" t="s">
        <v>72</v>
      </c>
      <c r="F14" s="13" t="s">
        <v>74</v>
      </c>
      <c r="G14" s="13" t="s">
        <v>69</v>
      </c>
      <c r="H14" s="13" t="s">
        <v>69</v>
      </c>
    </row>
    <row r="15" spans="1:10" ht="15" thickBot="1" x14ac:dyDescent="0.35">
      <c r="B15" s="14" t="s">
        <v>32</v>
      </c>
      <c r="C15" s="14" t="s">
        <v>33</v>
      </c>
      <c r="D15" s="14" t="s">
        <v>64</v>
      </c>
      <c r="E15" s="14" t="s">
        <v>73</v>
      </c>
      <c r="F15" s="14" t="s">
        <v>75</v>
      </c>
      <c r="G15" s="14" t="s">
        <v>70</v>
      </c>
      <c r="H15" s="14" t="s">
        <v>71</v>
      </c>
      <c r="I15" s="16" t="s">
        <v>83</v>
      </c>
      <c r="J15" s="16" t="s">
        <v>84</v>
      </c>
    </row>
    <row r="16" spans="1:10" x14ac:dyDescent="0.3">
      <c r="B16" s="10" t="s">
        <v>115</v>
      </c>
      <c r="C16" s="10" t="s">
        <v>104</v>
      </c>
      <c r="D16" s="10">
        <v>40</v>
      </c>
      <c r="E16" s="10">
        <v>0</v>
      </c>
      <c r="F16" s="10">
        <v>30</v>
      </c>
      <c r="G16" s="10">
        <v>10</v>
      </c>
      <c r="H16" s="10">
        <v>1E+30</v>
      </c>
      <c r="I16">
        <f>D16-H16</f>
        <v>-1E+30</v>
      </c>
      <c r="J16">
        <f>D16+G16</f>
        <v>50</v>
      </c>
    </row>
    <row r="17" spans="2:10" ht="15" thickBot="1" x14ac:dyDescent="0.35">
      <c r="B17" s="8" t="s">
        <v>117</v>
      </c>
      <c r="C17" s="8" t="s">
        <v>102</v>
      </c>
      <c r="D17" s="8">
        <v>20</v>
      </c>
      <c r="E17" s="8">
        <v>1000</v>
      </c>
      <c r="F17" s="8">
        <v>20</v>
      </c>
      <c r="G17" s="8">
        <v>1E+30</v>
      </c>
      <c r="H17" s="8">
        <v>5</v>
      </c>
      <c r="I17">
        <f>D17-H17</f>
        <v>15</v>
      </c>
      <c r="J17">
        <f>D17+G17</f>
        <v>1E+30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0F9E6-CBD8-4387-9025-9A043A1D238E}">
  <dimension ref="A1:J15"/>
  <sheetViews>
    <sheetView showGridLines="0" workbookViewId="0">
      <selection sqref="A1:A3"/>
    </sheetView>
  </sheetViews>
  <sheetFormatPr defaultRowHeight="14.4" x14ac:dyDescent="0.3"/>
  <cols>
    <col min="1" max="1" width="2.33203125" customWidth="1"/>
    <col min="2" max="2" width="8.6640625" bestFit="1" customWidth="1"/>
    <col min="3" max="3" width="8.33203125" bestFit="1" customWidth="1"/>
    <col min="4" max="4" width="7.5546875" bestFit="1" customWidth="1"/>
    <col min="5" max="5" width="2.33203125" customWidth="1"/>
    <col min="6" max="6" width="7.109375" bestFit="1" customWidth="1"/>
    <col min="7" max="7" width="12.6640625" bestFit="1" customWidth="1"/>
    <col min="8" max="8" width="2.33203125" customWidth="1"/>
    <col min="9" max="9" width="7.109375" bestFit="1" customWidth="1"/>
    <col min="10" max="10" width="12.6640625" bestFit="1" customWidth="1"/>
  </cols>
  <sheetData>
    <row r="1" spans="1:10" x14ac:dyDescent="0.3">
      <c r="A1" s="7" t="s">
        <v>76</v>
      </c>
    </row>
    <row r="2" spans="1:10" x14ac:dyDescent="0.3">
      <c r="A2" s="7" t="s">
        <v>105</v>
      </c>
    </row>
    <row r="3" spans="1:10" x14ac:dyDescent="0.3">
      <c r="A3" s="7" t="s">
        <v>122</v>
      </c>
    </row>
    <row r="5" spans="1:10" ht="15" thickBot="1" x14ac:dyDescent="0.35"/>
    <row r="6" spans="1:10" x14ac:dyDescent="0.3">
      <c r="B6" s="13"/>
      <c r="C6" s="13" t="s">
        <v>67</v>
      </c>
      <c r="D6" s="13"/>
    </row>
    <row r="7" spans="1:10" ht="15" thickBot="1" x14ac:dyDescent="0.35">
      <c r="B7" s="14" t="s">
        <v>32</v>
      </c>
      <c r="C7" s="14" t="s">
        <v>33</v>
      </c>
      <c r="D7" s="14" t="s">
        <v>64</v>
      </c>
    </row>
    <row r="8" spans="1:10" ht="15" thickBot="1" x14ac:dyDescent="0.35">
      <c r="B8" s="8" t="s">
        <v>108</v>
      </c>
      <c r="C8" s="8" t="s">
        <v>100</v>
      </c>
      <c r="D8" s="11">
        <v>20000</v>
      </c>
    </row>
    <row r="10" spans="1:10" ht="15" thickBot="1" x14ac:dyDescent="0.35"/>
    <row r="11" spans="1:10" x14ac:dyDescent="0.3">
      <c r="B11" s="13"/>
      <c r="C11" s="13" t="s">
        <v>77</v>
      </c>
      <c r="D11" s="13"/>
      <c r="F11" s="13" t="s">
        <v>78</v>
      </c>
      <c r="G11" s="13" t="s">
        <v>67</v>
      </c>
      <c r="I11" s="13" t="s">
        <v>81</v>
      </c>
      <c r="J11" s="13" t="s">
        <v>67</v>
      </c>
    </row>
    <row r="12" spans="1:10" ht="15" thickBot="1" x14ac:dyDescent="0.35">
      <c r="B12" s="14" t="s">
        <v>32</v>
      </c>
      <c r="C12" s="14" t="s">
        <v>33</v>
      </c>
      <c r="D12" s="14" t="s">
        <v>64</v>
      </c>
      <c r="F12" s="14" t="s">
        <v>79</v>
      </c>
      <c r="G12" s="14" t="s">
        <v>80</v>
      </c>
      <c r="I12" s="14" t="s">
        <v>79</v>
      </c>
      <c r="J12" s="14" t="s">
        <v>80</v>
      </c>
    </row>
    <row r="13" spans="1:10" x14ac:dyDescent="0.3">
      <c r="B13" s="10" t="s">
        <v>109</v>
      </c>
      <c r="C13" s="10" t="s">
        <v>110</v>
      </c>
      <c r="D13" s="12">
        <v>20</v>
      </c>
      <c r="F13" s="12">
        <v>20</v>
      </c>
      <c r="G13" s="12">
        <v>20000</v>
      </c>
      <c r="I13" s="10" t="s">
        <v>123</v>
      </c>
      <c r="J13" s="10" t="s">
        <v>123</v>
      </c>
    </row>
    <row r="14" spans="1:10" x14ac:dyDescent="0.3">
      <c r="B14" s="10" t="s">
        <v>111</v>
      </c>
      <c r="C14" s="10" t="s">
        <v>112</v>
      </c>
      <c r="D14" s="12">
        <v>0</v>
      </c>
      <c r="F14" s="12">
        <v>0</v>
      </c>
      <c r="G14" s="12">
        <v>20000</v>
      </c>
      <c r="I14" s="10" t="s">
        <v>123</v>
      </c>
      <c r="J14" s="10" t="s">
        <v>123</v>
      </c>
    </row>
    <row r="15" spans="1:10" ht="15" thickBot="1" x14ac:dyDescent="0.35">
      <c r="B15" s="8" t="s">
        <v>113</v>
      </c>
      <c r="C15" s="8" t="s">
        <v>114</v>
      </c>
      <c r="D15" s="11">
        <v>0</v>
      </c>
      <c r="F15" s="11">
        <v>0</v>
      </c>
      <c r="G15" s="11">
        <v>20000</v>
      </c>
      <c r="I15" s="8" t="s">
        <v>123</v>
      </c>
      <c r="J15" s="8" t="s">
        <v>123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FBA9B-2B2B-4C0C-A5D7-1FE3149E229F}">
  <dimension ref="B4:N11"/>
  <sheetViews>
    <sheetView tabSelected="1" workbookViewId="0">
      <selection activeCell="N9" sqref="N9"/>
    </sheetView>
  </sheetViews>
  <sheetFormatPr defaultRowHeight="14.4" x14ac:dyDescent="0.3"/>
  <cols>
    <col min="2" max="2" width="20.109375" bestFit="1" customWidth="1"/>
    <col min="3" max="3" width="29" bestFit="1" customWidth="1"/>
    <col min="7" max="7" width="4.5546875" bestFit="1" customWidth="1"/>
    <col min="9" max="9" width="6" bestFit="1" customWidth="1"/>
    <col min="10" max="10" width="4" bestFit="1" customWidth="1"/>
  </cols>
  <sheetData>
    <row r="4" spans="2:14" x14ac:dyDescent="0.3">
      <c r="H4" t="s">
        <v>17</v>
      </c>
      <c r="I4" t="s">
        <v>15</v>
      </c>
      <c r="J4" t="s">
        <v>16</v>
      </c>
      <c r="M4" t="s">
        <v>19</v>
      </c>
    </row>
    <row r="5" spans="2:14" x14ac:dyDescent="0.3">
      <c r="B5" t="s">
        <v>93</v>
      </c>
      <c r="C5" t="s">
        <v>94</v>
      </c>
      <c r="H5">
        <v>20</v>
      </c>
      <c r="I5">
        <v>0</v>
      </c>
      <c r="J5">
        <v>0</v>
      </c>
    </row>
    <row r="6" spans="2:14" x14ac:dyDescent="0.3">
      <c r="G6" t="s">
        <v>100</v>
      </c>
      <c r="H6">
        <v>1000</v>
      </c>
      <c r="I6">
        <v>24000</v>
      </c>
      <c r="J6">
        <v>600</v>
      </c>
      <c r="M6" t="s">
        <v>100</v>
      </c>
      <c r="N6">
        <f>SUMPRODUCT(H5:J5,H6:J6)</f>
        <v>20000</v>
      </c>
    </row>
    <row r="7" spans="2:14" x14ac:dyDescent="0.3">
      <c r="B7" t="s">
        <v>95</v>
      </c>
      <c r="C7" t="s">
        <v>96</v>
      </c>
      <c r="G7" t="s">
        <v>101</v>
      </c>
      <c r="H7">
        <v>2</v>
      </c>
      <c r="I7">
        <v>3</v>
      </c>
      <c r="J7">
        <v>1.5</v>
      </c>
      <c r="K7">
        <v>30</v>
      </c>
      <c r="M7" t="s">
        <v>104</v>
      </c>
      <c r="N7">
        <f>SUMPRODUCT(H7:J7,H5:J5)</f>
        <v>40</v>
      </c>
    </row>
    <row r="8" spans="2:14" x14ac:dyDescent="0.3">
      <c r="G8" t="s">
        <v>102</v>
      </c>
      <c r="H8">
        <v>1</v>
      </c>
      <c r="I8">
        <v>3</v>
      </c>
      <c r="J8">
        <v>0</v>
      </c>
      <c r="K8">
        <v>20</v>
      </c>
      <c r="M8" t="s">
        <v>102</v>
      </c>
      <c r="N8">
        <f>SUMPRODUCT(H5:J5,H8:J8)</f>
        <v>20</v>
      </c>
    </row>
    <row r="9" spans="2:14" x14ac:dyDescent="0.3">
      <c r="C9" t="s">
        <v>97</v>
      </c>
      <c r="G9" t="s">
        <v>103</v>
      </c>
      <c r="K9">
        <v>0</v>
      </c>
    </row>
    <row r="11" spans="2:14" x14ac:dyDescent="0.3">
      <c r="B11" t="s">
        <v>98</v>
      </c>
      <c r="C1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12</vt:i4>
      </vt:variant>
    </vt:vector>
  </HeadingPairs>
  <TitlesOfParts>
    <vt:vector size="12" baseType="lpstr">
      <vt:lpstr>Raport wyników 1</vt:lpstr>
      <vt:lpstr>Raport wrażliwości 1</vt:lpstr>
      <vt:lpstr>Raport granic 1</vt:lpstr>
      <vt:lpstr>slover_z1</vt:lpstr>
      <vt:lpstr>Raport wyników 2</vt:lpstr>
      <vt:lpstr>Raport wrażliwości 2</vt:lpstr>
      <vt:lpstr>Raport granic 2</vt:lpstr>
      <vt:lpstr>slover_z2</vt:lpstr>
      <vt:lpstr>Raport wyników 3</vt:lpstr>
      <vt:lpstr>Raport wrażliwości 3</vt:lpstr>
      <vt:lpstr>Raport granic 3</vt:lpstr>
      <vt:lpstr>z3_slover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 Lisowski</dc:creator>
  <cp:lastModifiedBy>prac608</cp:lastModifiedBy>
  <dcterms:created xsi:type="dcterms:W3CDTF">2026-04-20T08:54:07Z</dcterms:created>
  <dcterms:modified xsi:type="dcterms:W3CDTF">2026-05-18T07:07:48Z</dcterms:modified>
</cp:coreProperties>
</file>