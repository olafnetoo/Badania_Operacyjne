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BO_KW1\"/>
    </mc:Choice>
  </mc:AlternateContent>
  <xr:revisionPtr revIDLastSave="0" documentId="13_ncr:1_{E1213170-0552-4B16-8ED0-AE5255F39C37}" xr6:coauthVersionLast="47" xr6:coauthVersionMax="47" xr10:uidLastSave="{00000000-0000-0000-0000-000000000000}"/>
  <bookViews>
    <workbookView xWindow="-108" yWindow="-108" windowWidth="23256" windowHeight="12456" xr2:uid="{687A66AF-72A4-48D0-9912-68F333D303E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8" i="1" l="1"/>
  <c r="D99" i="1"/>
  <c r="F99" i="1"/>
  <c r="F96" i="1"/>
  <c r="D96" i="1"/>
  <c r="C99" i="1"/>
  <c r="C97" i="1"/>
  <c r="C95" i="1"/>
  <c r="H78" i="1"/>
  <c r="D74" i="1"/>
  <c r="C70" i="1"/>
  <c r="C76" i="1"/>
  <c r="C73" i="1"/>
  <c r="B56" i="1"/>
  <c r="I42" i="1"/>
  <c r="I43" i="1" s="1"/>
  <c r="J42" i="1"/>
  <c r="J43" i="1" s="1"/>
  <c r="K42" i="1"/>
  <c r="K43" i="1" s="1"/>
  <c r="L42" i="1"/>
  <c r="L43" i="1" s="1"/>
  <c r="M42" i="1"/>
  <c r="M43" i="1" s="1"/>
  <c r="N42" i="1"/>
  <c r="H43" i="1"/>
  <c r="I41" i="1"/>
  <c r="J41" i="1"/>
  <c r="K41" i="1"/>
  <c r="L41" i="1"/>
  <c r="M41" i="1"/>
  <c r="N41" i="1"/>
  <c r="H41" i="1"/>
  <c r="I39" i="1"/>
  <c r="J39" i="1"/>
  <c r="K39" i="1"/>
  <c r="L39" i="1"/>
  <c r="M39" i="1"/>
  <c r="N39" i="1"/>
  <c r="H39" i="1"/>
  <c r="I40" i="1"/>
  <c r="J40" i="1"/>
  <c r="K40" i="1"/>
  <c r="L40" i="1"/>
  <c r="M40" i="1"/>
  <c r="N40" i="1"/>
  <c r="H40" i="1"/>
  <c r="O31" i="1"/>
  <c r="O32" i="1"/>
  <c r="O30" i="1"/>
  <c r="N33" i="1"/>
  <c r="I34" i="1"/>
  <c r="J34" i="1"/>
  <c r="K34" i="1"/>
  <c r="L34" i="1"/>
  <c r="M34" i="1"/>
  <c r="H34" i="1"/>
  <c r="I33" i="1"/>
  <c r="J33" i="1"/>
  <c r="K33" i="1"/>
  <c r="L33" i="1"/>
  <c r="M33" i="1"/>
  <c r="H33" i="1"/>
  <c r="I31" i="1"/>
  <c r="J31" i="1"/>
  <c r="K31" i="1"/>
  <c r="L31" i="1"/>
  <c r="M31" i="1"/>
  <c r="N31" i="1"/>
  <c r="H31" i="1"/>
  <c r="I30" i="1"/>
  <c r="J30" i="1"/>
  <c r="K30" i="1"/>
  <c r="L30" i="1"/>
  <c r="M30" i="1"/>
  <c r="N30" i="1"/>
  <c r="H30" i="1"/>
  <c r="I32" i="1"/>
  <c r="J32" i="1"/>
  <c r="K32" i="1"/>
  <c r="L32" i="1"/>
  <c r="M32" i="1"/>
  <c r="N32" i="1"/>
  <c r="H32" i="1"/>
  <c r="I23" i="1"/>
  <c r="J23" i="1"/>
  <c r="K23" i="1"/>
  <c r="L23" i="1"/>
  <c r="M23" i="1"/>
  <c r="N23" i="1"/>
  <c r="H23" i="1"/>
  <c r="O22" i="1"/>
  <c r="O23" i="1"/>
  <c r="O21" i="1"/>
  <c r="I25" i="1"/>
  <c r="J25" i="1"/>
  <c r="H25" i="1"/>
  <c r="I24" i="1"/>
  <c r="J24" i="1"/>
  <c r="K24" i="1"/>
  <c r="K25" i="1" s="1"/>
  <c r="L24" i="1"/>
  <c r="L25" i="1" s="1"/>
  <c r="M24" i="1"/>
  <c r="M25" i="1" s="1"/>
  <c r="N24" i="1"/>
  <c r="H24" i="1"/>
  <c r="I22" i="1"/>
  <c r="J22" i="1"/>
  <c r="K22" i="1"/>
  <c r="L22" i="1"/>
  <c r="M22" i="1"/>
  <c r="N22" i="1"/>
  <c r="H22" i="1"/>
  <c r="I21" i="1"/>
  <c r="J21" i="1"/>
  <c r="K21" i="1"/>
  <c r="L21" i="1"/>
  <c r="M21" i="1"/>
  <c r="N21" i="1"/>
  <c r="H21" i="1"/>
  <c r="O11" i="1"/>
  <c r="O12" i="1"/>
  <c r="O10" i="1"/>
  <c r="I14" i="1"/>
  <c r="J14" i="1"/>
  <c r="K14" i="1"/>
  <c r="L14" i="1"/>
  <c r="M14" i="1"/>
  <c r="H14" i="1"/>
  <c r="I13" i="1"/>
  <c r="J13" i="1"/>
  <c r="K13" i="1"/>
  <c r="L13" i="1"/>
  <c r="M13" i="1"/>
  <c r="N13" i="1"/>
  <c r="H13" i="1"/>
</calcChain>
</file>

<file path=xl/sharedStrings.xml><?xml version="1.0" encoding="utf-8"?>
<sst xmlns="http://schemas.openxmlformats.org/spreadsheetml/2006/main" count="173" uniqueCount="80">
  <si>
    <t>Rozwiązać zadanie metodą simplex</t>
  </si>
  <si>
    <t>Dokonać analizy wrażliwości rozwiązania na zmiany współczynników funkcji celu</t>
  </si>
  <si>
    <t>Postać standardowa</t>
  </si>
  <si>
    <t>Funkcja celu:</t>
  </si>
  <si>
    <t>32X1+24X2+48X3~~MAX</t>
  </si>
  <si>
    <t>Warunki ograniczające:</t>
  </si>
  <si>
    <t>2X1+2X2+5X3&lt;=40</t>
  </si>
  <si>
    <t>1X1+3X2+2X3&lt;=30</t>
  </si>
  <si>
    <t>3X1+1X3+3X3&lt;=30</t>
  </si>
  <si>
    <t>Warunki brzegowe:</t>
  </si>
  <si>
    <t>X1,X2,X3&gt;=0</t>
  </si>
  <si>
    <t>x1</t>
  </si>
  <si>
    <t>x2</t>
  </si>
  <si>
    <t>x3</t>
  </si>
  <si>
    <t>x4</t>
  </si>
  <si>
    <t>x5</t>
  </si>
  <si>
    <t>x6</t>
  </si>
  <si>
    <t>bi</t>
  </si>
  <si>
    <t>xb/xj</t>
  </si>
  <si>
    <t>cj</t>
  </si>
  <si>
    <t>cb</t>
  </si>
  <si>
    <t>zj</t>
  </si>
  <si>
    <t>c-z</t>
  </si>
  <si>
    <t>max weście</t>
  </si>
  <si>
    <t>aik</t>
  </si>
  <si>
    <t>min wyjście</t>
  </si>
  <si>
    <t>max wejscie</t>
  </si>
  <si>
    <t>min wyjscie</t>
  </si>
  <si>
    <t>4 tablica</t>
  </si>
  <si>
    <t>3tablica</t>
  </si>
  <si>
    <t>2tablica</t>
  </si>
  <si>
    <t>1tablica</t>
  </si>
  <si>
    <t>Rozwiązanie optymalne</t>
  </si>
  <si>
    <t>Tablica ostatnia z roz optymalnym to punkt wyjścia do analizy wrażliwości</t>
  </si>
  <si>
    <t>&gt;&gt;</t>
  </si>
  <si>
    <t>Analizy dokonujemy cp- dla pojedyńczego parametru przty pozosatłych nie zmienionych</t>
  </si>
  <si>
    <t>S1 oznacza dopuszczalną zmiane c1 przy rozwiązaniu optymalnym</t>
  </si>
  <si>
    <t>32+S1</t>
  </si>
  <si>
    <t>Po dokonaniu zmiany wartości parametru , przeliczamy wiersze</t>
  </si>
  <si>
    <t>4,4-0,35S1</t>
  </si>
  <si>
    <t>ręcznie</t>
  </si>
  <si>
    <t>2,8+0,05S1</t>
  </si>
  <si>
    <t>6,8+0,55S1</t>
  </si>
  <si>
    <t>0,35S1-4,4</t>
  </si>
  <si>
    <t>-2,8-0,05S1</t>
  </si>
  <si>
    <t>-6,8-0,55S1</t>
  </si>
  <si>
    <t>Aby utrzymać optymalność rozwiązania elementy w wierszu cj-zj muszą być nie dodatnie</t>
  </si>
  <si>
    <t>zapisujemy układ równań</t>
  </si>
  <si>
    <t>0,35S1-4,4&lt;=0</t>
  </si>
  <si>
    <t>-0,05S1-2,8&lt;=0</t>
  </si>
  <si>
    <t>-0,55S1-6,8&lt;=0</t>
  </si>
  <si>
    <t>z 1 nierówności</t>
  </si>
  <si>
    <t>0,35S1&lt;=4,4</t>
  </si>
  <si>
    <t>S1&lt;=12,57</t>
  </si>
  <si>
    <t>Z2 nierówności</t>
  </si>
  <si>
    <t>-0,05S1&lt;+2,8</t>
  </si>
  <si>
    <t>S1&gt;=</t>
  </si>
  <si>
    <t>z3 nierówności</t>
  </si>
  <si>
    <t>-0,55S1&lt;=6,8</t>
  </si>
  <si>
    <t>&lt;=S1&lt;=</t>
  </si>
  <si>
    <t>Parametr C1 może przyjmować wartości z przedziału</t>
  </si>
  <si>
    <t>&lt;=C1&lt;=</t>
  </si>
  <si>
    <t>Sprawdzenie</t>
  </si>
  <si>
    <t>wstawianie za c1 jakiechś licZb z przedziału</t>
  </si>
  <si>
    <t>teraz za x2</t>
  </si>
  <si>
    <t>24+S2</t>
  </si>
  <si>
    <t>4,4-0,15S1</t>
  </si>
  <si>
    <t>2,8+0,45S2</t>
  </si>
  <si>
    <t>6,8-0,05S2</t>
  </si>
  <si>
    <t>0,15 S2-4,4</t>
  </si>
  <si>
    <t>-0,45 S2-2,8</t>
  </si>
  <si>
    <t>0,05S2-6,8</t>
  </si>
  <si>
    <t>1 równanie</t>
  </si>
  <si>
    <t>0,15 S2 &lt;=4,4</t>
  </si>
  <si>
    <t>S2&lt;=</t>
  </si>
  <si>
    <t>2 równanie</t>
  </si>
  <si>
    <t>S2&gt;=</t>
  </si>
  <si>
    <t>3 równanie</t>
  </si>
  <si>
    <t>&lt;=S2&lt;=</t>
  </si>
  <si>
    <t>&lt;=C2&lt;=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</si>
</sst>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zcionka tekstu podstawowego"/>
      <family val="2"/>
      <charset val="238"/>
    </font>
    <font>
      <b/>
      <u/>
      <sz val="11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sz val="11"/>
      <color rgb="FFFF0000"/>
      <name val="Czcionka tekstu podstawoweg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0" fillId="0" borderId="2" xfId="0" applyFill="1" applyBorder="1"/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0" fillId="0" borderId="1" xfId="0" applyBorder="1" applyAlignment="1">
      <alignment horizontal="right"/>
    </xf>
    <xf numFmtId="0" fontId="0" fillId="2" borderId="1" xfId="0" quotePrefix="1" applyFill="1" applyBorder="1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0" fillId="2" borderId="0" xfId="0" quotePrefix="1" applyFill="1"/>
    <xf numFmtId="2" fontId="0" fillId="4" borderId="0" xfId="0" applyNumberFormat="1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204E-2DFE-4F39-AC59-D8FA1DC4871B}">
  <dimension ref="A3:P99"/>
  <sheetViews>
    <sheetView tabSelected="1" topLeftCell="A85" zoomScaleNormal="100" workbookViewId="0">
      <selection activeCell="F79" sqref="F79"/>
    </sheetView>
  </sheetViews>
  <sheetFormatPr defaultRowHeight="13.8"/>
  <cols>
    <col min="2" max="2" width="21.5" customWidth="1"/>
    <col min="7" max="7" width="12" customWidth="1"/>
    <col min="8" max="8" width="11" customWidth="1"/>
    <col min="9" max="9" width="10.5" customWidth="1"/>
  </cols>
  <sheetData>
    <row r="3" spans="2:16">
      <c r="B3" s="1" t="s">
        <v>0</v>
      </c>
    </row>
    <row r="4" spans="2:16">
      <c r="B4" s="1" t="s">
        <v>1</v>
      </c>
    </row>
    <row r="6" spans="2:16">
      <c r="B6" s="2" t="s">
        <v>2</v>
      </c>
    </row>
    <row r="8" spans="2:16">
      <c r="B8" t="s">
        <v>3</v>
      </c>
      <c r="C8" t="s">
        <v>4</v>
      </c>
      <c r="F8" s="4" t="s">
        <v>31</v>
      </c>
      <c r="G8" s="5" t="s">
        <v>19</v>
      </c>
      <c r="H8" s="4">
        <v>32</v>
      </c>
      <c r="I8" s="4">
        <v>24</v>
      </c>
      <c r="J8" s="7">
        <v>48</v>
      </c>
      <c r="K8" s="4">
        <v>0</v>
      </c>
      <c r="L8" s="4">
        <v>0</v>
      </c>
      <c r="M8" s="4">
        <v>0</v>
      </c>
      <c r="N8" s="4"/>
    </row>
    <row r="9" spans="2:16">
      <c r="F9" s="5" t="s">
        <v>20</v>
      </c>
      <c r="G9" s="5" t="s">
        <v>18</v>
      </c>
      <c r="H9" s="5" t="s">
        <v>11</v>
      </c>
      <c r="I9" s="5" t="s">
        <v>12</v>
      </c>
      <c r="J9" s="8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24</v>
      </c>
    </row>
    <row r="10" spans="2:16">
      <c r="B10" t="s">
        <v>5</v>
      </c>
      <c r="C10" t="s">
        <v>6</v>
      </c>
      <c r="F10" s="7">
        <v>0</v>
      </c>
      <c r="G10" s="8" t="s">
        <v>14</v>
      </c>
      <c r="H10" s="7">
        <v>2</v>
      </c>
      <c r="I10" s="7">
        <v>2</v>
      </c>
      <c r="J10" s="18">
        <v>5</v>
      </c>
      <c r="K10" s="7">
        <v>1</v>
      </c>
      <c r="L10" s="7">
        <v>0</v>
      </c>
      <c r="M10" s="7">
        <v>0</v>
      </c>
      <c r="N10" s="7">
        <v>40</v>
      </c>
      <c r="O10" s="9">
        <f>N10/J10</f>
        <v>8</v>
      </c>
      <c r="P10" t="s">
        <v>25</v>
      </c>
    </row>
    <row r="11" spans="2:16">
      <c r="C11" t="s">
        <v>7</v>
      </c>
      <c r="F11" s="4">
        <v>0</v>
      </c>
      <c r="G11" s="5" t="s">
        <v>15</v>
      </c>
      <c r="H11" s="4">
        <v>1</v>
      </c>
      <c r="I11" s="4">
        <v>3</v>
      </c>
      <c r="J11" s="7">
        <v>2</v>
      </c>
      <c r="K11" s="4">
        <v>0</v>
      </c>
      <c r="L11" s="4">
        <v>1</v>
      </c>
      <c r="M11" s="4">
        <v>0</v>
      </c>
      <c r="N11" s="4">
        <v>30</v>
      </c>
      <c r="O11">
        <f t="shared" ref="O11:O12" si="0">N11/J11</f>
        <v>15</v>
      </c>
    </row>
    <row r="12" spans="2:16">
      <c r="C12" t="s">
        <v>8</v>
      </c>
      <c r="F12" s="4">
        <v>0</v>
      </c>
      <c r="G12" s="5" t="s">
        <v>16</v>
      </c>
      <c r="H12" s="4">
        <v>3</v>
      </c>
      <c r="I12" s="4">
        <v>1</v>
      </c>
      <c r="J12" s="7">
        <v>3</v>
      </c>
      <c r="K12" s="4">
        <v>0</v>
      </c>
      <c r="L12" s="4">
        <v>0</v>
      </c>
      <c r="M12" s="4">
        <v>1</v>
      </c>
      <c r="N12" s="4">
        <v>30</v>
      </c>
      <c r="O12">
        <f t="shared" si="0"/>
        <v>10</v>
      </c>
    </row>
    <row r="13" spans="2:16">
      <c r="F13" s="4"/>
      <c r="G13" s="5" t="s">
        <v>21</v>
      </c>
      <c r="H13" s="4">
        <f>SUMPRODUCT($F$10:$F$12,H10:H12)</f>
        <v>0</v>
      </c>
      <c r="I13" s="4">
        <f t="shared" ref="I13:N13" si="1">SUMPRODUCT($F$10:$F$12,I10:I12)</f>
        <v>0</v>
      </c>
      <c r="J13" s="7">
        <f t="shared" si="1"/>
        <v>0</v>
      </c>
      <c r="K13" s="4">
        <f t="shared" si="1"/>
        <v>0</v>
      </c>
      <c r="L13" s="4">
        <f t="shared" si="1"/>
        <v>0</v>
      </c>
      <c r="M13" s="4">
        <f t="shared" si="1"/>
        <v>0</v>
      </c>
      <c r="N13" s="4">
        <f t="shared" si="1"/>
        <v>0</v>
      </c>
    </row>
    <row r="14" spans="2:16">
      <c r="B14" t="s">
        <v>9</v>
      </c>
      <c r="C14" t="s">
        <v>10</v>
      </c>
      <c r="F14" s="4"/>
      <c r="G14" s="4" t="s">
        <v>22</v>
      </c>
      <c r="H14" s="4">
        <f>H8-H13</f>
        <v>32</v>
      </c>
      <c r="I14" s="4">
        <f t="shared" ref="I14:M14" si="2">I8-I13</f>
        <v>24</v>
      </c>
      <c r="J14" s="7">
        <f t="shared" si="2"/>
        <v>48</v>
      </c>
      <c r="K14" s="4">
        <f t="shared" si="2"/>
        <v>0</v>
      </c>
      <c r="L14" s="4">
        <f t="shared" si="2"/>
        <v>0</v>
      </c>
      <c r="M14" s="4">
        <f t="shared" si="2"/>
        <v>0</v>
      </c>
      <c r="N14" s="4"/>
    </row>
    <row r="15" spans="2:16">
      <c r="J15" t="s">
        <v>23</v>
      </c>
    </row>
    <row r="19" spans="6:16">
      <c r="F19" s="4" t="s">
        <v>30</v>
      </c>
      <c r="G19" s="5" t="s">
        <v>19</v>
      </c>
      <c r="H19" s="7">
        <v>32</v>
      </c>
      <c r="I19" s="4">
        <v>24</v>
      </c>
      <c r="J19" s="4">
        <v>48</v>
      </c>
      <c r="K19" s="4">
        <v>0</v>
      </c>
      <c r="L19" s="4">
        <v>0</v>
      </c>
      <c r="M19" s="4">
        <v>0</v>
      </c>
      <c r="N19" s="4"/>
    </row>
    <row r="20" spans="6:16">
      <c r="F20" s="5" t="s">
        <v>20</v>
      </c>
      <c r="G20" s="5" t="s">
        <v>18</v>
      </c>
      <c r="H20" s="8" t="s">
        <v>11</v>
      </c>
      <c r="I20" s="5" t="s">
        <v>12</v>
      </c>
      <c r="J20" s="5" t="s">
        <v>13</v>
      </c>
      <c r="K20" s="5" t="s">
        <v>14</v>
      </c>
      <c r="L20" s="5" t="s">
        <v>15</v>
      </c>
      <c r="M20" s="5" t="s">
        <v>16</v>
      </c>
      <c r="N20" s="5" t="s">
        <v>17</v>
      </c>
      <c r="O20" s="6" t="s">
        <v>24</v>
      </c>
    </row>
    <row r="21" spans="6:16">
      <c r="F21" s="4">
        <v>48</v>
      </c>
      <c r="G21" s="5" t="s">
        <v>13</v>
      </c>
      <c r="H21" s="7">
        <f>H10/$J$10</f>
        <v>0.4</v>
      </c>
      <c r="I21" s="4">
        <f t="shared" ref="I21:N21" si="3">I10/$J$10</f>
        <v>0.4</v>
      </c>
      <c r="J21" s="4">
        <f t="shared" si="3"/>
        <v>1</v>
      </c>
      <c r="K21" s="4">
        <f t="shared" si="3"/>
        <v>0.2</v>
      </c>
      <c r="L21" s="4">
        <f t="shared" si="3"/>
        <v>0</v>
      </c>
      <c r="M21" s="4">
        <f t="shared" si="3"/>
        <v>0</v>
      </c>
      <c r="N21" s="4">
        <f t="shared" si="3"/>
        <v>8</v>
      </c>
      <c r="O21" s="10">
        <f>N21/H21</f>
        <v>20</v>
      </c>
    </row>
    <row r="22" spans="6:16">
      <c r="F22" s="4">
        <v>0</v>
      </c>
      <c r="G22" s="5" t="s">
        <v>15</v>
      </c>
      <c r="H22" s="7">
        <f>H11-$J$11*H21</f>
        <v>0.19999999999999996</v>
      </c>
      <c r="I22" s="4">
        <f t="shared" ref="I22:N22" si="4">I11-$J$11*I21</f>
        <v>2.2000000000000002</v>
      </c>
      <c r="J22" s="4">
        <f t="shared" si="4"/>
        <v>0</v>
      </c>
      <c r="K22" s="4">
        <f t="shared" si="4"/>
        <v>-0.4</v>
      </c>
      <c r="L22" s="4">
        <f t="shared" si="4"/>
        <v>1</v>
      </c>
      <c r="M22" s="4">
        <f t="shared" si="4"/>
        <v>0</v>
      </c>
      <c r="N22" s="4">
        <f t="shared" si="4"/>
        <v>14</v>
      </c>
      <c r="O22" s="10">
        <f t="shared" ref="O22:O23" si="5">N22/H22</f>
        <v>70.000000000000014</v>
      </c>
    </row>
    <row r="23" spans="6:16">
      <c r="F23" s="4">
        <v>0</v>
      </c>
      <c r="G23" s="5" t="s">
        <v>16</v>
      </c>
      <c r="H23" s="18">
        <f>H12-$J$12*H21</f>
        <v>1.7999999999999998</v>
      </c>
      <c r="I23" s="7">
        <f t="shared" ref="I23:N23" si="6">I12-$J$12*I21</f>
        <v>-0.20000000000000018</v>
      </c>
      <c r="J23" s="7">
        <f t="shared" si="6"/>
        <v>0</v>
      </c>
      <c r="K23" s="7">
        <f t="shared" si="6"/>
        <v>-0.60000000000000009</v>
      </c>
      <c r="L23" s="7">
        <f t="shared" si="6"/>
        <v>0</v>
      </c>
      <c r="M23" s="7">
        <f t="shared" si="6"/>
        <v>1</v>
      </c>
      <c r="N23" s="7">
        <f t="shared" si="6"/>
        <v>6</v>
      </c>
      <c r="O23" s="10">
        <f t="shared" si="5"/>
        <v>3.3333333333333335</v>
      </c>
      <c r="P23" t="s">
        <v>25</v>
      </c>
    </row>
    <row r="24" spans="6:16">
      <c r="F24" s="4"/>
      <c r="G24" s="5" t="s">
        <v>21</v>
      </c>
      <c r="H24" s="7">
        <f>SUMPRODUCT($F$21:$F$23,H21:H23)</f>
        <v>19.200000000000003</v>
      </c>
      <c r="I24" s="4">
        <f t="shared" ref="I24:N24" si="7">SUMPRODUCT($F$21:$F$23,I21:I23)</f>
        <v>19.200000000000003</v>
      </c>
      <c r="J24" s="4">
        <f t="shared" si="7"/>
        <v>48</v>
      </c>
      <c r="K24" s="4">
        <f t="shared" si="7"/>
        <v>9.6000000000000014</v>
      </c>
      <c r="L24" s="4">
        <f t="shared" si="7"/>
        <v>0</v>
      </c>
      <c r="M24" s="4">
        <f t="shared" si="7"/>
        <v>0</v>
      </c>
      <c r="N24" s="4">
        <f t="shared" si="7"/>
        <v>384</v>
      </c>
    </row>
    <row r="25" spans="6:16">
      <c r="F25" s="4"/>
      <c r="G25" s="4" t="s">
        <v>22</v>
      </c>
      <c r="H25" s="7">
        <f>H19-H24</f>
        <v>12.799999999999997</v>
      </c>
      <c r="I25" s="4">
        <f t="shared" ref="I25:M25" si="8">I19-I24</f>
        <v>4.7999999999999972</v>
      </c>
      <c r="J25" s="4">
        <f t="shared" si="8"/>
        <v>0</v>
      </c>
      <c r="K25" s="4">
        <f t="shared" si="8"/>
        <v>-9.6000000000000014</v>
      </c>
      <c r="L25" s="4">
        <f t="shared" si="8"/>
        <v>0</v>
      </c>
      <c r="M25" s="4">
        <f t="shared" si="8"/>
        <v>0</v>
      </c>
      <c r="N25" s="4"/>
    </row>
    <row r="26" spans="6:16">
      <c r="H26" t="s">
        <v>26</v>
      </c>
    </row>
    <row r="28" spans="6:16">
      <c r="F28" s="4" t="s">
        <v>29</v>
      </c>
      <c r="G28" s="5" t="s">
        <v>19</v>
      </c>
      <c r="H28" s="11">
        <v>32</v>
      </c>
      <c r="I28" s="7">
        <v>24</v>
      </c>
      <c r="J28" s="4">
        <v>48</v>
      </c>
      <c r="K28" s="4">
        <v>0</v>
      </c>
      <c r="L28" s="4">
        <v>0</v>
      </c>
      <c r="M28" s="4">
        <v>0</v>
      </c>
      <c r="N28" s="4"/>
    </row>
    <row r="29" spans="6:16">
      <c r="F29" s="5" t="s">
        <v>20</v>
      </c>
      <c r="G29" s="5" t="s">
        <v>18</v>
      </c>
      <c r="H29" s="12" t="s">
        <v>11</v>
      </c>
      <c r="I29" s="8" t="s">
        <v>12</v>
      </c>
      <c r="J29" s="5" t="s">
        <v>13</v>
      </c>
      <c r="K29" s="5" t="s">
        <v>14</v>
      </c>
      <c r="L29" s="5" t="s">
        <v>15</v>
      </c>
      <c r="M29" s="5" t="s">
        <v>16</v>
      </c>
      <c r="N29" s="5" t="s">
        <v>17</v>
      </c>
      <c r="O29" s="6" t="s">
        <v>24</v>
      </c>
    </row>
    <row r="30" spans="6:16">
      <c r="F30" s="4">
        <v>48</v>
      </c>
      <c r="G30" s="5" t="s">
        <v>13</v>
      </c>
      <c r="H30" s="11">
        <f>H21-$H$21*H32</f>
        <v>0</v>
      </c>
      <c r="I30" s="7">
        <f t="shared" ref="I30:N30" si="9">I21-$H$21*I32</f>
        <v>0.44444444444444453</v>
      </c>
      <c r="J30" s="11">
        <f t="shared" si="9"/>
        <v>1</v>
      </c>
      <c r="K30" s="11">
        <f t="shared" si="9"/>
        <v>0.33333333333333337</v>
      </c>
      <c r="L30" s="11">
        <f t="shared" si="9"/>
        <v>0</v>
      </c>
      <c r="M30" s="11">
        <f t="shared" si="9"/>
        <v>-0.22222222222222224</v>
      </c>
      <c r="N30" s="11">
        <f t="shared" si="9"/>
        <v>6.6666666666666661</v>
      </c>
      <c r="O30" s="10">
        <f>N30/I30</f>
        <v>14.999999999999996</v>
      </c>
    </row>
    <row r="31" spans="6:16">
      <c r="F31" s="7">
        <v>0</v>
      </c>
      <c r="G31" s="8" t="s">
        <v>15</v>
      </c>
      <c r="H31" s="7">
        <f>H22-$H$22*H32</f>
        <v>0</v>
      </c>
      <c r="I31" s="18">
        <f t="shared" ref="I31:N31" si="10">I22-$H$22*I32</f>
        <v>2.2222222222222223</v>
      </c>
      <c r="J31" s="7">
        <f t="shared" si="10"/>
        <v>0</v>
      </c>
      <c r="K31" s="7">
        <f t="shared" si="10"/>
        <v>-0.33333333333333337</v>
      </c>
      <c r="L31" s="7">
        <f t="shared" si="10"/>
        <v>1</v>
      </c>
      <c r="M31" s="7">
        <f t="shared" si="10"/>
        <v>-0.11111111111111109</v>
      </c>
      <c r="N31" s="7">
        <f t="shared" si="10"/>
        <v>13.333333333333334</v>
      </c>
      <c r="O31" s="13">
        <f t="shared" ref="O31:O32" si="11">N31/I31</f>
        <v>6</v>
      </c>
      <c r="P31" t="s">
        <v>27</v>
      </c>
    </row>
    <row r="32" spans="6:16">
      <c r="F32" s="4">
        <v>32</v>
      </c>
      <c r="G32" s="5" t="s">
        <v>11</v>
      </c>
      <c r="H32" s="11">
        <f>H23/$H$23</f>
        <v>1</v>
      </c>
      <c r="I32" s="7">
        <f t="shared" ref="I32:N32" si="12">I23/$H$23</f>
        <v>-0.11111111111111122</v>
      </c>
      <c r="J32" s="11">
        <f t="shared" si="12"/>
        <v>0</v>
      </c>
      <c r="K32" s="11">
        <f t="shared" si="12"/>
        <v>-0.33333333333333343</v>
      </c>
      <c r="L32" s="11">
        <f t="shared" si="12"/>
        <v>0</v>
      </c>
      <c r="M32" s="11">
        <f t="shared" si="12"/>
        <v>0.55555555555555558</v>
      </c>
      <c r="N32" s="11">
        <f t="shared" si="12"/>
        <v>3.3333333333333335</v>
      </c>
      <c r="O32" s="10">
        <f t="shared" si="11"/>
        <v>-29.999999999999972</v>
      </c>
    </row>
    <row r="33" spans="6:15">
      <c r="F33" s="4"/>
      <c r="G33" s="5" t="s">
        <v>21</v>
      </c>
      <c r="H33" s="11">
        <f>SUMPRODUCT($F$30:$F$32,H30:H32)</f>
        <v>32</v>
      </c>
      <c r="I33" s="7">
        <f t="shared" ref="I33:N33" si="13">SUMPRODUCT($F$30:$F$32,I30:I32)</f>
        <v>17.777777777777779</v>
      </c>
      <c r="J33" s="11">
        <f t="shared" si="13"/>
        <v>48</v>
      </c>
      <c r="K33" s="11">
        <f t="shared" si="13"/>
        <v>5.3333333333333304</v>
      </c>
      <c r="L33" s="11">
        <f t="shared" si="13"/>
        <v>0</v>
      </c>
      <c r="M33" s="11">
        <f t="shared" si="13"/>
        <v>7.1111111111111107</v>
      </c>
      <c r="N33" s="11">
        <f t="shared" si="13"/>
        <v>426.66666666666669</v>
      </c>
    </row>
    <row r="34" spans="6:15">
      <c r="F34" s="4"/>
      <c r="G34" s="4" t="s">
        <v>22</v>
      </c>
      <c r="H34" s="11">
        <f>H28-H33</f>
        <v>0</v>
      </c>
      <c r="I34" s="7">
        <f t="shared" ref="I34:M34" si="14">I28-I33</f>
        <v>6.2222222222222214</v>
      </c>
      <c r="J34" s="11">
        <f t="shared" si="14"/>
        <v>0</v>
      </c>
      <c r="K34" s="11">
        <f t="shared" si="14"/>
        <v>-5.3333333333333304</v>
      </c>
      <c r="L34" s="11">
        <f t="shared" si="14"/>
        <v>0</v>
      </c>
      <c r="M34" s="11">
        <f t="shared" si="14"/>
        <v>-7.1111111111111107</v>
      </c>
      <c r="N34" s="4"/>
    </row>
    <row r="35" spans="6:15">
      <c r="I35" t="s">
        <v>26</v>
      </c>
    </row>
    <row r="37" spans="6:15">
      <c r="F37" s="4" t="s">
        <v>28</v>
      </c>
      <c r="G37" s="5" t="s">
        <v>19</v>
      </c>
      <c r="H37" s="11">
        <v>32</v>
      </c>
      <c r="I37" s="4">
        <v>24</v>
      </c>
      <c r="J37" s="4">
        <v>48</v>
      </c>
      <c r="K37" s="4">
        <v>0</v>
      </c>
      <c r="L37" s="4">
        <v>0</v>
      </c>
      <c r="M37" s="4">
        <v>0</v>
      </c>
      <c r="N37" s="4"/>
    </row>
    <row r="38" spans="6:15">
      <c r="F38" s="5" t="s">
        <v>20</v>
      </c>
      <c r="G38" s="5" t="s">
        <v>18</v>
      </c>
      <c r="H38" s="12" t="s">
        <v>11</v>
      </c>
      <c r="I38" s="5" t="s">
        <v>12</v>
      </c>
      <c r="J38" s="5" t="s">
        <v>13</v>
      </c>
      <c r="K38" s="5" t="s">
        <v>14</v>
      </c>
      <c r="L38" s="5" t="s">
        <v>15</v>
      </c>
      <c r="M38" s="5" t="s">
        <v>16</v>
      </c>
      <c r="N38" s="5" t="s">
        <v>17</v>
      </c>
      <c r="O38" s="6" t="s">
        <v>24</v>
      </c>
    </row>
    <row r="39" spans="6:15">
      <c r="F39" s="4">
        <v>48</v>
      </c>
      <c r="G39" s="15" t="s">
        <v>13</v>
      </c>
      <c r="H39" s="11">
        <f>H30-$I$30*H40</f>
        <v>0</v>
      </c>
      <c r="I39" s="11">
        <f t="shared" ref="I39:N39" si="15">I30-$I$30*I40</f>
        <v>0</v>
      </c>
      <c r="J39" s="11">
        <f t="shared" si="15"/>
        <v>1</v>
      </c>
      <c r="K39" s="11">
        <f t="shared" si="15"/>
        <v>0.40000000000000008</v>
      </c>
      <c r="L39" s="11">
        <f t="shared" si="15"/>
        <v>-0.2</v>
      </c>
      <c r="M39" s="11">
        <f t="shared" si="15"/>
        <v>-0.2</v>
      </c>
      <c r="N39" s="16">
        <f t="shared" si="15"/>
        <v>3.9999999999999991</v>
      </c>
      <c r="O39" s="10"/>
    </row>
    <row r="40" spans="6:15">
      <c r="F40" s="4">
        <v>24</v>
      </c>
      <c r="G40" s="15" t="s">
        <v>12</v>
      </c>
      <c r="H40" s="11">
        <f>H31/$I$31</f>
        <v>0</v>
      </c>
      <c r="I40" s="11">
        <f t="shared" ref="I40:N40" si="16">I31/$I$31</f>
        <v>1</v>
      </c>
      <c r="J40" s="11">
        <f t="shared" si="16"/>
        <v>0</v>
      </c>
      <c r="K40" s="11">
        <f t="shared" si="16"/>
        <v>-0.15000000000000002</v>
      </c>
      <c r="L40" s="11">
        <f t="shared" si="16"/>
        <v>0.44999999999999996</v>
      </c>
      <c r="M40" s="11">
        <f t="shared" si="16"/>
        <v>-4.9999999999999989E-2</v>
      </c>
      <c r="N40" s="16">
        <f t="shared" si="16"/>
        <v>6</v>
      </c>
      <c r="O40" s="10"/>
    </row>
    <row r="41" spans="6:15">
      <c r="F41" s="4">
        <v>32</v>
      </c>
      <c r="G41" s="15" t="s">
        <v>11</v>
      </c>
      <c r="H41" s="11">
        <f>H32-$I$32*H40</f>
        <v>1</v>
      </c>
      <c r="I41" s="11">
        <f t="shared" ref="I41:N41" si="17">I32-$I$32*I40</f>
        <v>0</v>
      </c>
      <c r="J41" s="11">
        <f t="shared" si="17"/>
        <v>0</v>
      </c>
      <c r="K41" s="11">
        <f t="shared" si="17"/>
        <v>-0.35000000000000009</v>
      </c>
      <c r="L41" s="11">
        <f t="shared" si="17"/>
        <v>5.0000000000000044E-2</v>
      </c>
      <c r="M41" s="11">
        <f t="shared" si="17"/>
        <v>0.55000000000000004</v>
      </c>
      <c r="N41" s="16">
        <f t="shared" si="17"/>
        <v>4.0000000000000009</v>
      </c>
      <c r="O41" s="10"/>
    </row>
    <row r="42" spans="6:15">
      <c r="F42" s="4"/>
      <c r="G42" s="5" t="s">
        <v>21</v>
      </c>
      <c r="H42" s="11">
        <v>32</v>
      </c>
      <c r="I42" s="11">
        <f t="shared" ref="I42:N42" si="18">SUMPRODUCT($F$39:$F$41,I39:I41)</f>
        <v>24</v>
      </c>
      <c r="J42" s="11">
        <f t="shared" si="18"/>
        <v>48</v>
      </c>
      <c r="K42" s="11">
        <f t="shared" si="18"/>
        <v>4.3999999999999986</v>
      </c>
      <c r="L42" s="11">
        <f t="shared" si="18"/>
        <v>2.7999999999999989</v>
      </c>
      <c r="M42" s="11">
        <f t="shared" si="18"/>
        <v>6.8000000000000007</v>
      </c>
      <c r="N42" s="17">
        <f t="shared" si="18"/>
        <v>464</v>
      </c>
    </row>
    <row r="43" spans="6:15">
      <c r="F43" s="4"/>
      <c r="G43" s="4" t="s">
        <v>22</v>
      </c>
      <c r="H43" s="11">
        <f>H37-H42</f>
        <v>0</v>
      </c>
      <c r="I43" s="11">
        <f t="shared" ref="I43:M43" si="19">I37-I42</f>
        <v>0</v>
      </c>
      <c r="J43" s="11">
        <f t="shared" si="19"/>
        <v>0</v>
      </c>
      <c r="K43" s="11">
        <f t="shared" si="19"/>
        <v>-4.3999999999999986</v>
      </c>
      <c r="L43" s="11">
        <f t="shared" si="19"/>
        <v>-2.7999999999999989</v>
      </c>
      <c r="M43" s="11">
        <f t="shared" si="19"/>
        <v>-6.8000000000000007</v>
      </c>
      <c r="N43" s="4"/>
    </row>
    <row r="45" spans="6:15">
      <c r="F45" t="s">
        <v>32</v>
      </c>
    </row>
    <row r="46" spans="6:15">
      <c r="F46" s="14" t="s">
        <v>11</v>
      </c>
      <c r="G46" s="14">
        <v>4</v>
      </c>
    </row>
    <row r="47" spans="6:15">
      <c r="F47" s="14" t="s">
        <v>12</v>
      </c>
      <c r="G47" s="14">
        <v>6</v>
      </c>
    </row>
    <row r="48" spans="6:15">
      <c r="F48" s="14" t="s">
        <v>13</v>
      </c>
      <c r="G48" s="14">
        <v>4</v>
      </c>
    </row>
    <row r="50" spans="1:10">
      <c r="A50" t="s">
        <v>34</v>
      </c>
      <c r="B50" t="s">
        <v>33</v>
      </c>
    </row>
    <row r="51" spans="1:10">
      <c r="B51" t="s">
        <v>35</v>
      </c>
    </row>
    <row r="52" spans="1:10">
      <c r="B52" s="4" t="s">
        <v>28</v>
      </c>
      <c r="C52" s="5" t="s">
        <v>19</v>
      </c>
      <c r="D52" s="4" t="s">
        <v>37</v>
      </c>
      <c r="E52" s="4">
        <v>24</v>
      </c>
      <c r="F52" s="4">
        <v>48</v>
      </c>
      <c r="G52" s="4">
        <v>0</v>
      </c>
      <c r="H52" s="4">
        <v>0</v>
      </c>
      <c r="I52" s="4">
        <v>0</v>
      </c>
      <c r="J52" s="4"/>
    </row>
    <row r="53" spans="1:10">
      <c r="B53" s="5" t="s">
        <v>20</v>
      </c>
      <c r="C53" s="5" t="s">
        <v>18</v>
      </c>
      <c r="D53" s="5" t="s">
        <v>11</v>
      </c>
      <c r="E53" s="5" t="s">
        <v>12</v>
      </c>
      <c r="F53" s="5" t="s">
        <v>13</v>
      </c>
      <c r="G53" s="5" t="s">
        <v>14</v>
      </c>
      <c r="H53" s="5" t="s">
        <v>15</v>
      </c>
      <c r="I53" s="5" t="s">
        <v>16</v>
      </c>
      <c r="J53" s="5" t="s">
        <v>17</v>
      </c>
    </row>
    <row r="54" spans="1:10">
      <c r="B54" s="4">
        <v>48</v>
      </c>
      <c r="C54" s="5" t="s">
        <v>13</v>
      </c>
      <c r="D54" s="4">
        <v>0</v>
      </c>
      <c r="E54" s="4">
        <v>0</v>
      </c>
      <c r="F54" s="4">
        <v>1</v>
      </c>
      <c r="G54" s="4">
        <v>0.40000000000000008</v>
      </c>
      <c r="H54" s="4">
        <v>-0.2</v>
      </c>
      <c r="I54" s="4">
        <v>-0.2</v>
      </c>
      <c r="J54" s="4">
        <v>3.9999999999999991</v>
      </c>
    </row>
    <row r="55" spans="1:10">
      <c r="B55" s="4">
        <v>24</v>
      </c>
      <c r="C55" s="5" t="s">
        <v>12</v>
      </c>
      <c r="D55" s="4">
        <v>0</v>
      </c>
      <c r="E55" s="4">
        <v>1</v>
      </c>
      <c r="F55" s="4">
        <v>0</v>
      </c>
      <c r="G55" s="4">
        <v>-0.15000000000000002</v>
      </c>
      <c r="H55" s="4">
        <v>0.44999999999999996</v>
      </c>
      <c r="I55" s="4">
        <v>-4.9999999999999989E-2</v>
      </c>
      <c r="J55" s="4">
        <v>6</v>
      </c>
    </row>
    <row r="56" spans="1:10">
      <c r="B56" s="19" t="str">
        <f>D52</f>
        <v>32+S1</v>
      </c>
      <c r="C56" s="5" t="s">
        <v>11</v>
      </c>
      <c r="D56" s="4">
        <v>1</v>
      </c>
      <c r="E56" s="4">
        <v>0</v>
      </c>
      <c r="F56" s="4">
        <v>0</v>
      </c>
      <c r="G56" s="4">
        <v>-0.35000000000000009</v>
      </c>
      <c r="H56" s="4">
        <v>5.0000000000000044E-2</v>
      </c>
      <c r="I56" s="4">
        <v>0.55000000000000004</v>
      </c>
      <c r="J56" s="4">
        <v>4.0000000000000009</v>
      </c>
    </row>
    <row r="57" spans="1:10">
      <c r="C57" s="5" t="s">
        <v>21</v>
      </c>
      <c r="D57" s="4" t="s">
        <v>37</v>
      </c>
      <c r="E57" s="4">
        <v>24</v>
      </c>
      <c r="F57" s="4">
        <v>48</v>
      </c>
      <c r="G57" s="4" t="s">
        <v>39</v>
      </c>
      <c r="H57" s="4" t="s">
        <v>41</v>
      </c>
      <c r="I57" s="4" t="s">
        <v>42</v>
      </c>
      <c r="J57" s="11"/>
    </row>
    <row r="58" spans="1:10">
      <c r="C58" s="5" t="s">
        <v>22</v>
      </c>
      <c r="D58" s="19">
        <v>0</v>
      </c>
      <c r="E58" s="4">
        <v>0</v>
      </c>
      <c r="F58" s="4">
        <v>0</v>
      </c>
      <c r="G58" s="7" t="s">
        <v>43</v>
      </c>
      <c r="H58" s="20" t="s">
        <v>44</v>
      </c>
      <c r="I58" s="20" t="s">
        <v>45</v>
      </c>
    </row>
    <row r="60" spans="1:10">
      <c r="B60" t="s">
        <v>36</v>
      </c>
    </row>
    <row r="61" spans="1:10">
      <c r="B61" t="s">
        <v>38</v>
      </c>
      <c r="G61" t="s">
        <v>40</v>
      </c>
    </row>
    <row r="62" spans="1:10">
      <c r="B62" t="s">
        <v>46</v>
      </c>
    </row>
    <row r="63" spans="1:10">
      <c r="B63" t="s">
        <v>47</v>
      </c>
    </row>
    <row r="64" spans="1:10">
      <c r="B64" t="s">
        <v>48</v>
      </c>
    </row>
    <row r="65" spans="2:8">
      <c r="B65" s="21" t="s">
        <v>49</v>
      </c>
    </row>
    <row r="66" spans="2:8">
      <c r="B66" s="21" t="s">
        <v>50</v>
      </c>
    </row>
    <row r="68" spans="2:8">
      <c r="B68" t="s">
        <v>51</v>
      </c>
    </row>
    <row r="69" spans="2:8">
      <c r="B69" t="s">
        <v>52</v>
      </c>
    </row>
    <row r="70" spans="2:8">
      <c r="B70" t="s">
        <v>53</v>
      </c>
      <c r="C70" s="22">
        <f>4.4/0.35</f>
        <v>12.571428571428573</v>
      </c>
    </row>
    <row r="71" spans="2:8">
      <c r="B71" t="s">
        <v>54</v>
      </c>
    </row>
    <row r="72" spans="2:8">
      <c r="B72" s="21" t="s">
        <v>55</v>
      </c>
    </row>
    <row r="73" spans="2:8">
      <c r="B73" t="s">
        <v>56</v>
      </c>
      <c r="C73">
        <f>2.8/-0.05</f>
        <v>-55.999999999999993</v>
      </c>
    </row>
    <row r="74" spans="2:8">
      <c r="B74" t="s">
        <v>57</v>
      </c>
      <c r="D74" s="23">
        <f>C76</f>
        <v>-12.363636363636362</v>
      </c>
      <c r="E74" t="s">
        <v>59</v>
      </c>
      <c r="F74">
        <v>12.57</v>
      </c>
    </row>
    <row r="75" spans="2:8">
      <c r="B75" s="21" t="s">
        <v>58</v>
      </c>
    </row>
    <row r="76" spans="2:8">
      <c r="B76" t="s">
        <v>56</v>
      </c>
      <c r="C76" s="22">
        <f>6.8/-0.55</f>
        <v>-12.363636363636362</v>
      </c>
    </row>
    <row r="78" spans="2:8">
      <c r="B78" t="s">
        <v>60</v>
      </c>
      <c r="F78" s="26">
        <f>32-12.36</f>
        <v>19.64</v>
      </c>
      <c r="G78" s="24" t="s">
        <v>61</v>
      </c>
      <c r="H78" s="25">
        <f>32+F74</f>
        <v>44.57</v>
      </c>
    </row>
    <row r="80" spans="2:8">
      <c r="B80" t="s">
        <v>62</v>
      </c>
      <c r="C80" t="s">
        <v>63</v>
      </c>
    </row>
    <row r="82" spans="2:10">
      <c r="B82" t="s">
        <v>64</v>
      </c>
    </row>
    <row r="84" spans="2:10">
      <c r="B84" t="s">
        <v>28</v>
      </c>
      <c r="C84" s="3" t="s">
        <v>19</v>
      </c>
      <c r="D84">
        <v>32</v>
      </c>
      <c r="E84" t="s">
        <v>65</v>
      </c>
      <c r="F84">
        <v>48</v>
      </c>
      <c r="G84">
        <v>0</v>
      </c>
      <c r="H84">
        <v>0</v>
      </c>
      <c r="I84">
        <v>0</v>
      </c>
    </row>
    <row r="85" spans="2:10">
      <c r="B85" s="3" t="s">
        <v>20</v>
      </c>
      <c r="C85" s="3" t="s">
        <v>18</v>
      </c>
      <c r="D85" s="3" t="s">
        <v>11</v>
      </c>
      <c r="E85" s="3" t="s">
        <v>12</v>
      </c>
      <c r="F85" s="3" t="s">
        <v>13</v>
      </c>
      <c r="G85" s="3" t="s">
        <v>14</v>
      </c>
      <c r="H85" s="3" t="s">
        <v>15</v>
      </c>
      <c r="I85" s="3" t="s">
        <v>16</v>
      </c>
      <c r="J85" s="3" t="s">
        <v>17</v>
      </c>
    </row>
    <row r="86" spans="2:10">
      <c r="B86">
        <v>48</v>
      </c>
      <c r="C86" s="3" t="s">
        <v>13</v>
      </c>
      <c r="D86">
        <v>0</v>
      </c>
      <c r="E86">
        <v>0</v>
      </c>
      <c r="F86">
        <v>1</v>
      </c>
      <c r="G86">
        <v>0.40000000000000008</v>
      </c>
      <c r="H86">
        <v>-0.2</v>
      </c>
      <c r="I86">
        <v>-0.2</v>
      </c>
      <c r="J86">
        <v>3.9999999999999991</v>
      </c>
    </row>
    <row r="87" spans="2:10">
      <c r="B87" t="s">
        <v>65</v>
      </c>
      <c r="C87" s="3" t="s">
        <v>12</v>
      </c>
      <c r="D87">
        <v>0</v>
      </c>
      <c r="E87">
        <v>1</v>
      </c>
      <c r="F87">
        <v>0</v>
      </c>
      <c r="G87">
        <v>-0.15000000000000002</v>
      </c>
      <c r="H87">
        <v>0.44999999999999996</v>
      </c>
      <c r="I87">
        <v>-4.9999999999999989E-2</v>
      </c>
      <c r="J87">
        <v>6</v>
      </c>
    </row>
    <row r="88" spans="2:10">
      <c r="B88">
        <v>32</v>
      </c>
      <c r="C88" s="3" t="s">
        <v>11</v>
      </c>
      <c r="D88">
        <v>1</v>
      </c>
      <c r="E88">
        <v>0</v>
      </c>
      <c r="F88">
        <v>0</v>
      </c>
      <c r="G88">
        <v>-0.35000000000000009</v>
      </c>
      <c r="H88">
        <v>5.0000000000000044E-2</v>
      </c>
      <c r="I88">
        <v>0.55000000000000004</v>
      </c>
      <c r="J88">
        <v>4.0000000000000009</v>
      </c>
    </row>
    <row r="89" spans="2:10">
      <c r="C89" s="3" t="s">
        <v>21</v>
      </c>
      <c r="D89">
        <v>32</v>
      </c>
      <c r="E89" t="s">
        <v>65</v>
      </c>
      <c r="F89">
        <v>48</v>
      </c>
      <c r="G89" t="s">
        <v>66</v>
      </c>
      <c r="H89" t="s">
        <v>67</v>
      </c>
      <c r="I89" t="s">
        <v>68</v>
      </c>
    </row>
    <row r="90" spans="2:10">
      <c r="C90" s="3" t="s">
        <v>22</v>
      </c>
      <c r="D90">
        <v>0</v>
      </c>
      <c r="E90">
        <v>0</v>
      </c>
      <c r="F90">
        <v>0</v>
      </c>
      <c r="G90" s="9" t="s">
        <v>69</v>
      </c>
      <c r="H90" s="27" t="s">
        <v>70</v>
      </c>
      <c r="I90" s="9" t="s">
        <v>71</v>
      </c>
    </row>
    <row r="93" spans="2:10">
      <c r="B93" t="s">
        <v>72</v>
      </c>
    </row>
    <row r="94" spans="2:10">
      <c r="B94" t="s">
        <v>73</v>
      </c>
    </row>
    <row r="95" spans="2:10">
      <c r="B95" t="s">
        <v>74</v>
      </c>
      <c r="C95" s="22">
        <f>4.4/0.15</f>
        <v>29.333333333333336</v>
      </c>
    </row>
    <row r="96" spans="2:10">
      <c r="B96" t="s">
        <v>75</v>
      </c>
      <c r="D96" s="22">
        <f>C97</f>
        <v>-6.2222222222222214</v>
      </c>
      <c r="E96" t="s">
        <v>78</v>
      </c>
      <c r="F96" s="22">
        <f>C95</f>
        <v>29.333333333333336</v>
      </c>
    </row>
    <row r="97" spans="2:6">
      <c r="B97" t="s">
        <v>76</v>
      </c>
      <c r="C97" s="22">
        <f>2.8/-0.45</f>
        <v>-6.2222222222222214</v>
      </c>
    </row>
    <row r="98" spans="2:6">
      <c r="B98" t="s">
        <v>77</v>
      </c>
    </row>
    <row r="99" spans="2:6">
      <c r="B99" t="s">
        <v>74</v>
      </c>
      <c r="C99">
        <f>6.8/0.05</f>
        <v>136</v>
      </c>
      <c r="D99" s="28">
        <f>24-6.22</f>
        <v>17.78</v>
      </c>
      <c r="E99" s="29" t="s">
        <v>79</v>
      </c>
      <c r="F99" s="28">
        <f>24+F96</f>
        <v>53.333333333333336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 Lisowski</dc:creator>
  <cp:lastModifiedBy>prac608</cp:lastModifiedBy>
  <dcterms:created xsi:type="dcterms:W3CDTF">2026-05-04T06:13:55Z</dcterms:created>
  <dcterms:modified xsi:type="dcterms:W3CDTF">2026-05-04T07:13:03Z</dcterms:modified>
</cp:coreProperties>
</file>