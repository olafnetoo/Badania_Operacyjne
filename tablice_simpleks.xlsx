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608\Desktop\BO_KW1\"/>
    </mc:Choice>
  </mc:AlternateContent>
  <xr:revisionPtr revIDLastSave="0" documentId="13_ncr:1_{DB8025DB-4BC8-48E2-BB35-D0FBB1DC095D}" xr6:coauthVersionLast="47" xr6:coauthVersionMax="47" xr10:uidLastSave="{00000000-0000-0000-0000-000000000000}"/>
  <bookViews>
    <workbookView xWindow="-108" yWindow="-108" windowWidth="23256" windowHeight="12456" activeTab="1" xr2:uid="{AD6F1831-D84A-46EA-B000-AAA6C86C7573}"/>
  </bookViews>
  <sheets>
    <sheet name="zadanie1" sheetId="1" r:id="rId1"/>
    <sheet name="zadani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6" i="2" l="1"/>
  <c r="J36" i="2"/>
  <c r="K36" i="2"/>
  <c r="L36" i="2"/>
  <c r="M36" i="2"/>
  <c r="H36" i="2"/>
  <c r="I35" i="2"/>
  <c r="J35" i="2"/>
  <c r="K35" i="2"/>
  <c r="L35" i="2"/>
  <c r="M35" i="2"/>
  <c r="N35" i="2"/>
  <c r="H35" i="2"/>
  <c r="I34" i="2"/>
  <c r="J34" i="2"/>
  <c r="K34" i="2"/>
  <c r="L34" i="2"/>
  <c r="M34" i="2"/>
  <c r="N34" i="2"/>
  <c r="H34" i="2"/>
  <c r="I32" i="2"/>
  <c r="J32" i="2"/>
  <c r="K32" i="2"/>
  <c r="L32" i="2"/>
  <c r="M32" i="2"/>
  <c r="N32" i="2"/>
  <c r="H32" i="2"/>
  <c r="I33" i="2"/>
  <c r="J33" i="2"/>
  <c r="K33" i="2"/>
  <c r="L33" i="2"/>
  <c r="M33" i="2"/>
  <c r="N33" i="2"/>
  <c r="H33" i="2"/>
  <c r="O24" i="2"/>
  <c r="O23" i="2"/>
  <c r="O22" i="2"/>
  <c r="I25" i="2"/>
  <c r="K33" i="1"/>
  <c r="N22" i="2"/>
  <c r="I22" i="2"/>
  <c r="J22" i="2"/>
  <c r="J25" i="2" s="1"/>
  <c r="J26" i="2" s="1"/>
  <c r="K22" i="2"/>
  <c r="L22" i="2"/>
  <c r="M22" i="2"/>
  <c r="H22" i="2"/>
  <c r="K26" i="2"/>
  <c r="L26" i="2"/>
  <c r="M26" i="2"/>
  <c r="I26" i="2"/>
  <c r="K25" i="2"/>
  <c r="L25" i="2"/>
  <c r="M25" i="2"/>
  <c r="N25" i="2"/>
  <c r="H25" i="2"/>
  <c r="H26" i="2" s="1"/>
  <c r="I23" i="2"/>
  <c r="J23" i="2"/>
  <c r="K23" i="2"/>
  <c r="L23" i="2"/>
  <c r="M23" i="2"/>
  <c r="N23" i="2"/>
  <c r="H23" i="2"/>
  <c r="I24" i="2"/>
  <c r="J24" i="2"/>
  <c r="K24" i="2"/>
  <c r="L24" i="2"/>
  <c r="M24" i="2"/>
  <c r="N24" i="2"/>
  <c r="H24" i="2"/>
  <c r="O13" i="2"/>
  <c r="O14" i="2"/>
  <c r="O12" i="2"/>
  <c r="I16" i="2"/>
  <c r="J16" i="2"/>
  <c r="K16" i="2"/>
  <c r="L16" i="2"/>
  <c r="M16" i="2"/>
  <c r="H16" i="2"/>
  <c r="N15" i="2"/>
  <c r="I15" i="2"/>
  <c r="J15" i="2"/>
  <c r="K15" i="2"/>
  <c r="L15" i="2"/>
  <c r="M15" i="2"/>
  <c r="H15" i="2"/>
  <c r="L44" i="1"/>
  <c r="M44" i="1"/>
  <c r="M45" i="1" s="1"/>
  <c r="N44" i="1"/>
  <c r="O44" i="1"/>
  <c r="O45" i="1" s="1"/>
  <c r="P44" i="1"/>
  <c r="Q44" i="1"/>
  <c r="K44" i="1"/>
  <c r="R43" i="1"/>
  <c r="R42" i="1"/>
  <c r="R41" i="1"/>
  <c r="L41" i="1"/>
  <c r="M41" i="1"/>
  <c r="N41" i="1"/>
  <c r="N50" i="1" s="1"/>
  <c r="N53" i="1" s="1"/>
  <c r="N54" i="1" s="1"/>
  <c r="O41" i="1"/>
  <c r="P41" i="1"/>
  <c r="Q41" i="1"/>
  <c r="K41" i="1"/>
  <c r="L52" i="1"/>
  <c r="M52" i="1"/>
  <c r="N52" i="1"/>
  <c r="O52" i="1"/>
  <c r="P52" i="1"/>
  <c r="Q52" i="1"/>
  <c r="K52" i="1"/>
  <c r="L50" i="1"/>
  <c r="L53" i="1" s="1"/>
  <c r="L54" i="1" s="1"/>
  <c r="M50" i="1"/>
  <c r="M53" i="1" s="1"/>
  <c r="M54" i="1" s="1"/>
  <c r="O50" i="1"/>
  <c r="O53" i="1" s="1"/>
  <c r="O54" i="1" s="1"/>
  <c r="P50" i="1"/>
  <c r="P53" i="1" s="1"/>
  <c r="P54" i="1" s="1"/>
  <c r="Q50" i="1"/>
  <c r="Q53" i="1" s="1"/>
  <c r="K50" i="1"/>
  <c r="K53" i="1" s="1"/>
  <c r="K54" i="1" s="1"/>
  <c r="L51" i="1"/>
  <c r="M51" i="1"/>
  <c r="N51" i="1"/>
  <c r="O51" i="1"/>
  <c r="P51" i="1"/>
  <c r="Q51" i="1"/>
  <c r="K51" i="1"/>
  <c r="L42" i="1"/>
  <c r="M42" i="1"/>
  <c r="N42" i="1"/>
  <c r="O42" i="1"/>
  <c r="P42" i="1"/>
  <c r="Q42" i="1"/>
  <c r="K42" i="1"/>
  <c r="L43" i="1"/>
  <c r="M43" i="1"/>
  <c r="N43" i="1"/>
  <c r="O43" i="1"/>
  <c r="P43" i="1"/>
  <c r="Q43" i="1"/>
  <c r="K43" i="1"/>
  <c r="K32" i="1"/>
  <c r="Q35" i="1"/>
  <c r="K35" i="1"/>
  <c r="L34" i="1"/>
  <c r="M34" i="1"/>
  <c r="N34" i="1"/>
  <c r="O34" i="1"/>
  <c r="O35" i="1" s="1"/>
  <c r="O36" i="1" s="1"/>
  <c r="P34" i="1"/>
  <c r="Q34" i="1"/>
  <c r="K34" i="1"/>
  <c r="R33" i="1"/>
  <c r="R32" i="1"/>
  <c r="N35" i="1"/>
  <c r="N36" i="1" s="1"/>
  <c r="L36" i="1"/>
  <c r="M36" i="1"/>
  <c r="P36" i="1"/>
  <c r="L35" i="1"/>
  <c r="M35" i="1"/>
  <c r="P35" i="1"/>
  <c r="L33" i="1"/>
  <c r="M33" i="1"/>
  <c r="N33" i="1"/>
  <c r="O33" i="1"/>
  <c r="P33" i="1"/>
  <c r="Q33" i="1"/>
  <c r="Q32" i="1"/>
  <c r="L32" i="1"/>
  <c r="M32" i="1"/>
  <c r="N32" i="1"/>
  <c r="O32" i="1"/>
  <c r="P32" i="1"/>
  <c r="R23" i="1"/>
  <c r="R22" i="1"/>
  <c r="R21" i="1"/>
  <c r="L25" i="1"/>
  <c r="M25" i="1"/>
  <c r="N25" i="1"/>
  <c r="O25" i="1"/>
  <c r="P25" i="1"/>
  <c r="K25" i="1"/>
  <c r="L24" i="1"/>
  <c r="M24" i="1"/>
  <c r="N24" i="1"/>
  <c r="O24" i="1"/>
  <c r="P24" i="1"/>
  <c r="Q24" i="1"/>
  <c r="K24" i="1"/>
  <c r="K45" i="1" l="1"/>
  <c r="L45" i="1"/>
  <c r="N45" i="1"/>
  <c r="P45" i="1"/>
  <c r="R34" i="1"/>
  <c r="K36" i="1"/>
</calcChain>
</file>

<file path=xl/sharedStrings.xml><?xml version="1.0" encoding="utf-8"?>
<sst xmlns="http://schemas.openxmlformats.org/spreadsheetml/2006/main" count="179" uniqueCount="62">
  <si>
    <t>1.Zapis modelu</t>
  </si>
  <si>
    <t>fc:</t>
  </si>
  <si>
    <t>32x1+24x2+48x3~`max</t>
  </si>
  <si>
    <t>wo1:</t>
  </si>
  <si>
    <t>2x1+2x2+5x3&lt;=40</t>
  </si>
  <si>
    <t>wo2:</t>
  </si>
  <si>
    <t>1x1+3x2+2x3&lt;=30</t>
  </si>
  <si>
    <t>wo3:</t>
  </si>
  <si>
    <t>3x1+1x2+3x3&lt;=30</t>
  </si>
  <si>
    <t>wb:</t>
  </si>
  <si>
    <t>x1,x2,x3&gt;=0</t>
  </si>
  <si>
    <t>wprowadznie zmiennych swobodnych</t>
  </si>
  <si>
    <t>wb1</t>
  </si>
  <si>
    <t>2x1+2x2+5x3+x4=40</t>
  </si>
  <si>
    <t>wb2</t>
  </si>
  <si>
    <t>1x1+3x2+2x3+x5=30</t>
  </si>
  <si>
    <t>wb3</t>
  </si>
  <si>
    <t>3x1+1x2+3x3+x6=30</t>
  </si>
  <si>
    <t>fc=</t>
  </si>
  <si>
    <t>32x1+24x2+48x3+0x4+0x5+0x6~`max</t>
  </si>
  <si>
    <t>wb</t>
  </si>
  <si>
    <t>x1,x2,x3,x4,x5,x6&gt;=0</t>
  </si>
  <si>
    <t>2.Postac kanoniczna</t>
  </si>
  <si>
    <t>3.Tablica simpleks</t>
  </si>
  <si>
    <t>1tablica</t>
  </si>
  <si>
    <t>Cj:</t>
  </si>
  <si>
    <t>Cb:</t>
  </si>
  <si>
    <t>Xb/Xj:</t>
  </si>
  <si>
    <t>x1</t>
  </si>
  <si>
    <t>x2</t>
  </si>
  <si>
    <t>x3</t>
  </si>
  <si>
    <t>x4</t>
  </si>
  <si>
    <t>x5</t>
  </si>
  <si>
    <t>x6</t>
  </si>
  <si>
    <t>bi:</t>
  </si>
  <si>
    <t>bi/aik:</t>
  </si>
  <si>
    <t>Zj</t>
  </si>
  <si>
    <t>Cj-Zj</t>
  </si>
  <si>
    <t>wartość funkcji celu</t>
  </si>
  <si>
    <t>min kr wyjścia</t>
  </si>
  <si>
    <t>max kr wejscia</t>
  </si>
  <si>
    <t>jak w wierszu cj-zj występują wartości dodatnie to rozwiązanie nie jest optymalne</t>
  </si>
  <si>
    <t>2tablica</t>
  </si>
  <si>
    <t>zmiana</t>
  </si>
  <si>
    <t>w tym mam błąd</t>
  </si>
  <si>
    <t>min kr wyjscia</t>
  </si>
  <si>
    <t>3tablica</t>
  </si>
  <si>
    <t>4tablica</t>
  </si>
  <si>
    <t>Wartość fc w rozwiązaniu optymalnym wynosi 464</t>
  </si>
  <si>
    <t>ilość x1</t>
  </si>
  <si>
    <t>ilość x2</t>
  </si>
  <si>
    <t>ilość x3</t>
  </si>
  <si>
    <t>postać kanoniczna</t>
  </si>
  <si>
    <t>60x1+30x2+20x3+x4+x5+x6-&gt;max</t>
  </si>
  <si>
    <t>8x1+6x2+x3+x4=960</t>
  </si>
  <si>
    <t>8x1+4x2+3x3+x5=800</t>
  </si>
  <si>
    <t>4x1+3x2+x3+x6=320</t>
  </si>
  <si>
    <t>bi</t>
  </si>
  <si>
    <t>bi/aik</t>
  </si>
  <si>
    <t>cj-zj</t>
  </si>
  <si>
    <t>Fc=</t>
  </si>
  <si>
    <t>niewykorzytsany limit warunku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</si>
</sst>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3" borderId="3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5" borderId="0" xfId="0" applyFill="1"/>
    <xf numFmtId="0" fontId="0" fillId="5" borderId="1" xfId="0" applyFill="1" applyBorder="1"/>
    <xf numFmtId="0" fontId="1" fillId="0" borderId="1" xfId="0" applyFont="1" applyFill="1" applyBorder="1"/>
    <xf numFmtId="0" fontId="0" fillId="0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198121</xdr:colOff>
      <xdr:row>13</xdr:row>
      <xdr:rowOff>172249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5C137F5-49FA-449B-B2A4-F2599B8AF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074920" cy="2549689"/>
        </a:xfrm>
        <a:prstGeom prst="rect">
          <a:avLst/>
        </a:prstGeom>
      </xdr:spPr>
    </xdr:pic>
    <xdr:clientData/>
  </xdr:twoCellAnchor>
  <xdr:twoCellAnchor>
    <xdr:from>
      <xdr:col>9</xdr:col>
      <xdr:colOff>403860</xdr:colOff>
      <xdr:row>19</xdr:row>
      <xdr:rowOff>114300</xdr:rowOff>
    </xdr:from>
    <xdr:to>
      <xdr:col>12</xdr:col>
      <xdr:colOff>91440</xdr:colOff>
      <xdr:row>20</xdr:row>
      <xdr:rowOff>114300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0DDA62AF-E26A-495A-BD5F-7CC8BCB1DA01}"/>
            </a:ext>
          </a:extLst>
        </xdr:cNvPr>
        <xdr:cNvCxnSpPr/>
      </xdr:nvCxnSpPr>
      <xdr:spPr>
        <a:xfrm flipH="1">
          <a:off x="5890260" y="3589020"/>
          <a:ext cx="1516380" cy="1828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429451</xdr:colOff>
      <xdr:row>8</xdr:row>
      <xdr:rowOff>51646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51C8E58-71CE-4C8D-AA45-A2F8AF970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15851" cy="1514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A92A-C0A5-4CDB-8FB4-5E2C8577646B}">
  <dimension ref="H2:V59"/>
  <sheetViews>
    <sheetView topLeftCell="A40" workbookViewId="0">
      <selection activeCell="I59" sqref="I59"/>
    </sheetView>
  </sheetViews>
  <sheetFormatPr defaultRowHeight="14.4" x14ac:dyDescent="0.3"/>
  <cols>
    <col min="13" max="13" width="10.6640625" customWidth="1"/>
  </cols>
  <sheetData>
    <row r="2" spans="10:12" x14ac:dyDescent="0.3">
      <c r="J2" t="s">
        <v>0</v>
      </c>
    </row>
    <row r="3" spans="10:12" x14ac:dyDescent="0.3">
      <c r="J3" t="s">
        <v>1</v>
      </c>
      <c r="K3" t="s">
        <v>2</v>
      </c>
    </row>
    <row r="4" spans="10:12" x14ac:dyDescent="0.3">
      <c r="J4" t="s">
        <v>3</v>
      </c>
      <c r="K4" t="s">
        <v>4</v>
      </c>
    </row>
    <row r="5" spans="10:12" x14ac:dyDescent="0.3">
      <c r="J5" t="s">
        <v>5</v>
      </c>
      <c r="K5" t="s">
        <v>6</v>
      </c>
    </row>
    <row r="6" spans="10:12" x14ac:dyDescent="0.3">
      <c r="J6" t="s">
        <v>7</v>
      </c>
      <c r="K6" t="s">
        <v>8</v>
      </c>
    </row>
    <row r="7" spans="10:12" x14ac:dyDescent="0.3">
      <c r="J7" t="s">
        <v>9</v>
      </c>
      <c r="K7" t="s">
        <v>10</v>
      </c>
    </row>
    <row r="9" spans="10:12" x14ac:dyDescent="0.3">
      <c r="J9" t="s">
        <v>22</v>
      </c>
    </row>
    <row r="10" spans="10:12" x14ac:dyDescent="0.3">
      <c r="L10" t="s">
        <v>11</v>
      </c>
    </row>
    <row r="11" spans="10:12" x14ac:dyDescent="0.3">
      <c r="J11" t="s">
        <v>12</v>
      </c>
      <c r="K11" t="s">
        <v>13</v>
      </c>
    </row>
    <row r="12" spans="10:12" x14ac:dyDescent="0.3">
      <c r="J12" t="s">
        <v>14</v>
      </c>
      <c r="K12" t="s">
        <v>15</v>
      </c>
    </row>
    <row r="13" spans="10:12" x14ac:dyDescent="0.3">
      <c r="J13" t="s">
        <v>16</v>
      </c>
      <c r="K13" t="s">
        <v>17</v>
      </c>
    </row>
    <row r="14" spans="10:12" x14ac:dyDescent="0.3">
      <c r="J14" t="s">
        <v>18</v>
      </c>
      <c r="K14" t="s">
        <v>19</v>
      </c>
    </row>
    <row r="15" spans="10:12" x14ac:dyDescent="0.3">
      <c r="J15" t="s">
        <v>20</v>
      </c>
      <c r="K15" t="s">
        <v>21</v>
      </c>
    </row>
    <row r="17" spans="8:22" x14ac:dyDescent="0.3">
      <c r="J17" t="s">
        <v>23</v>
      </c>
    </row>
    <row r="19" spans="8:22" x14ac:dyDescent="0.3">
      <c r="I19" s="3" t="s">
        <v>24</v>
      </c>
      <c r="J19" s="3" t="s">
        <v>25</v>
      </c>
      <c r="K19" s="3">
        <v>32</v>
      </c>
      <c r="L19" s="3">
        <v>24</v>
      </c>
      <c r="M19" s="7">
        <v>48</v>
      </c>
      <c r="N19" s="3">
        <v>0</v>
      </c>
      <c r="O19" s="3">
        <v>0</v>
      </c>
      <c r="P19" s="3">
        <v>0</v>
      </c>
      <c r="Q19" s="1"/>
      <c r="R19" s="1"/>
    </row>
    <row r="20" spans="8:22" x14ac:dyDescent="0.3">
      <c r="I20" s="4" t="s">
        <v>26</v>
      </c>
      <c r="J20" s="4" t="s">
        <v>27</v>
      </c>
      <c r="K20" s="4" t="s">
        <v>28</v>
      </c>
      <c r="L20" s="4" t="s">
        <v>29</v>
      </c>
      <c r="M20" s="8" t="s">
        <v>30</v>
      </c>
      <c r="N20" s="4" t="s">
        <v>31</v>
      </c>
      <c r="O20" s="4" t="s">
        <v>32</v>
      </c>
      <c r="P20" s="4" t="s">
        <v>33</v>
      </c>
      <c r="Q20" s="3" t="s">
        <v>34</v>
      </c>
      <c r="R20" s="3" t="s">
        <v>35</v>
      </c>
    </row>
    <row r="21" spans="8:22" x14ac:dyDescent="0.3">
      <c r="H21" s="10"/>
      <c r="I21" s="9">
        <v>0</v>
      </c>
      <c r="J21" s="9" t="s">
        <v>31</v>
      </c>
      <c r="K21" s="9">
        <v>2</v>
      </c>
      <c r="L21" s="9">
        <v>2</v>
      </c>
      <c r="M21" s="14">
        <v>5</v>
      </c>
      <c r="N21" s="9">
        <v>1</v>
      </c>
      <c r="O21" s="9">
        <v>0</v>
      </c>
      <c r="P21" s="9">
        <v>0</v>
      </c>
      <c r="Q21" s="11">
        <v>40</v>
      </c>
      <c r="R21" s="9">
        <f>Q21/M21</f>
        <v>8</v>
      </c>
      <c r="S21" t="s">
        <v>39</v>
      </c>
    </row>
    <row r="22" spans="8:22" x14ac:dyDescent="0.3">
      <c r="I22" s="5">
        <v>0</v>
      </c>
      <c r="J22" s="5" t="s">
        <v>32</v>
      </c>
      <c r="K22" s="5">
        <v>1</v>
      </c>
      <c r="L22" s="5">
        <v>3</v>
      </c>
      <c r="M22" s="9">
        <v>2</v>
      </c>
      <c r="N22" s="5">
        <v>0</v>
      </c>
      <c r="O22" s="5">
        <v>1</v>
      </c>
      <c r="P22" s="5">
        <v>0</v>
      </c>
      <c r="Q22" s="5">
        <v>30</v>
      </c>
      <c r="R22" s="5">
        <f>Q22/M22</f>
        <v>15</v>
      </c>
    </row>
    <row r="23" spans="8:22" x14ac:dyDescent="0.3">
      <c r="I23" s="5">
        <v>0</v>
      </c>
      <c r="J23" s="5" t="s">
        <v>33</v>
      </c>
      <c r="K23" s="5">
        <v>3</v>
      </c>
      <c r="L23" s="5">
        <v>1</v>
      </c>
      <c r="M23" s="9">
        <v>3</v>
      </c>
      <c r="N23" s="5">
        <v>0</v>
      </c>
      <c r="O23" s="5">
        <v>0</v>
      </c>
      <c r="P23" s="5">
        <v>1</v>
      </c>
      <c r="Q23" s="5">
        <v>30</v>
      </c>
      <c r="R23" s="5">
        <f>Q23/M23</f>
        <v>10</v>
      </c>
    </row>
    <row r="24" spans="8:22" x14ac:dyDescent="0.3">
      <c r="J24" s="5" t="s">
        <v>36</v>
      </c>
      <c r="K24" s="5">
        <f>SUMPRODUCT($I$21:$I$23,K21:K23)</f>
        <v>0</v>
      </c>
      <c r="L24" s="5">
        <f t="shared" ref="L24:Q24" si="0">SUMPRODUCT($I$21:$I$23,L21:L23)</f>
        <v>0</v>
      </c>
      <c r="M24" s="9">
        <f t="shared" si="0"/>
        <v>0</v>
      </c>
      <c r="N24" s="5">
        <f t="shared" si="0"/>
        <v>0</v>
      </c>
      <c r="O24" s="5">
        <f t="shared" si="0"/>
        <v>0</v>
      </c>
      <c r="P24" s="5">
        <f t="shared" si="0"/>
        <v>0</v>
      </c>
      <c r="Q24" s="6">
        <f t="shared" si="0"/>
        <v>0</v>
      </c>
      <c r="U24" s="2" t="s">
        <v>38</v>
      </c>
      <c r="V24" s="2"/>
    </row>
    <row r="25" spans="8:22" x14ac:dyDescent="0.3">
      <c r="J25" s="5" t="s">
        <v>37</v>
      </c>
      <c r="K25" s="5">
        <f>K19-K24</f>
        <v>32</v>
      </c>
      <c r="L25" s="5">
        <f t="shared" ref="L25:P25" si="1">L19-L24</f>
        <v>24</v>
      </c>
      <c r="M25" s="9">
        <f t="shared" si="1"/>
        <v>48</v>
      </c>
      <c r="N25" s="5">
        <f t="shared" si="1"/>
        <v>0</v>
      </c>
      <c r="O25" s="5">
        <f t="shared" si="1"/>
        <v>0</v>
      </c>
      <c r="P25" s="5">
        <f t="shared" si="1"/>
        <v>0</v>
      </c>
    </row>
    <row r="26" spans="8:22" x14ac:dyDescent="0.3">
      <c r="M26" t="s">
        <v>40</v>
      </c>
    </row>
    <row r="27" spans="8:22" x14ac:dyDescent="0.3">
      <c r="J27" t="s">
        <v>41</v>
      </c>
    </row>
    <row r="30" spans="8:22" x14ac:dyDescent="0.3">
      <c r="I30" s="3" t="s">
        <v>42</v>
      </c>
      <c r="J30" s="3" t="s">
        <v>25</v>
      </c>
      <c r="K30" s="3">
        <v>32</v>
      </c>
      <c r="L30" s="3">
        <v>24</v>
      </c>
      <c r="M30" s="16">
        <v>48</v>
      </c>
      <c r="N30" s="3">
        <v>0</v>
      </c>
      <c r="O30" s="3">
        <v>0</v>
      </c>
      <c r="P30" s="3">
        <v>0</v>
      </c>
      <c r="Q30" s="1"/>
      <c r="R30" s="1"/>
    </row>
    <row r="31" spans="8:22" x14ac:dyDescent="0.3">
      <c r="I31" s="4" t="s">
        <v>26</v>
      </c>
      <c r="J31" s="4" t="s">
        <v>27</v>
      </c>
      <c r="K31" s="4" t="s">
        <v>28</v>
      </c>
      <c r="L31" s="4" t="s">
        <v>29</v>
      </c>
      <c r="M31" s="17" t="s">
        <v>30</v>
      </c>
      <c r="N31" s="4" t="s">
        <v>31</v>
      </c>
      <c r="O31" s="4" t="s">
        <v>32</v>
      </c>
      <c r="P31" s="4" t="s">
        <v>33</v>
      </c>
      <c r="Q31" s="3" t="s">
        <v>34</v>
      </c>
      <c r="R31" s="3" t="s">
        <v>35</v>
      </c>
    </row>
    <row r="32" spans="8:22" x14ac:dyDescent="0.3">
      <c r="H32" s="18" t="s">
        <v>43</v>
      </c>
      <c r="I32" s="19">
        <v>48</v>
      </c>
      <c r="J32" s="19" t="s">
        <v>30</v>
      </c>
      <c r="K32" s="15">
        <f>K21/$M$21</f>
        <v>0.4</v>
      </c>
      <c r="L32" s="15">
        <f t="shared" ref="L32:Q32" si="2">L21/$M$21</f>
        <v>0.4</v>
      </c>
      <c r="M32" s="15">
        <f t="shared" si="2"/>
        <v>1</v>
      </c>
      <c r="N32" s="15">
        <f t="shared" si="2"/>
        <v>0.2</v>
      </c>
      <c r="O32" s="15">
        <f t="shared" si="2"/>
        <v>0</v>
      </c>
      <c r="P32" s="15">
        <f t="shared" si="2"/>
        <v>0</v>
      </c>
      <c r="Q32" s="15">
        <f t="shared" si="2"/>
        <v>8</v>
      </c>
      <c r="R32" s="15">
        <f>Q32/K32</f>
        <v>20</v>
      </c>
    </row>
    <row r="33" spans="8:19" x14ac:dyDescent="0.3">
      <c r="I33" s="5">
        <v>0</v>
      </c>
      <c r="J33" s="5" t="s">
        <v>32</v>
      </c>
      <c r="K33" s="5">
        <f>K22-($M$22*K32)</f>
        <v>0.19999999999999996</v>
      </c>
      <c r="L33" s="5">
        <f t="shared" ref="L33:Q33" si="3">L22-($M$22*L32)</f>
        <v>2.2000000000000002</v>
      </c>
      <c r="M33" s="5">
        <f t="shared" si="3"/>
        <v>0</v>
      </c>
      <c r="N33" s="5">
        <f t="shared" si="3"/>
        <v>-0.4</v>
      </c>
      <c r="O33" s="5">
        <f t="shared" si="3"/>
        <v>1</v>
      </c>
      <c r="P33" s="5">
        <f t="shared" si="3"/>
        <v>0</v>
      </c>
      <c r="Q33" s="5">
        <f t="shared" si="3"/>
        <v>14</v>
      </c>
      <c r="R33" s="15">
        <f t="shared" ref="R33:R34" si="4">Q33/K33</f>
        <v>70.000000000000014</v>
      </c>
    </row>
    <row r="34" spans="8:19" x14ac:dyDescent="0.3">
      <c r="H34" t="s">
        <v>44</v>
      </c>
      <c r="I34" s="5">
        <v>0</v>
      </c>
      <c r="J34" s="5" t="s">
        <v>33</v>
      </c>
      <c r="K34" s="13">
        <f>K23-$M$23*K32</f>
        <v>1.7999999999999998</v>
      </c>
      <c r="L34" s="20">
        <f t="shared" ref="L34:Q34" si="5">L23-$M$23*L32</f>
        <v>-0.20000000000000018</v>
      </c>
      <c r="M34" s="20">
        <f t="shared" si="5"/>
        <v>0</v>
      </c>
      <c r="N34" s="20">
        <f t="shared" si="5"/>
        <v>-0.60000000000000009</v>
      </c>
      <c r="O34" s="20">
        <f t="shared" si="5"/>
        <v>0</v>
      </c>
      <c r="P34" s="20">
        <f t="shared" si="5"/>
        <v>1</v>
      </c>
      <c r="Q34" s="20">
        <f t="shared" si="5"/>
        <v>6</v>
      </c>
      <c r="R34" s="15">
        <f t="shared" si="4"/>
        <v>3.3333333333333335</v>
      </c>
      <c r="S34" t="s">
        <v>45</v>
      </c>
    </row>
    <row r="35" spans="8:19" x14ac:dyDescent="0.3">
      <c r="J35" s="5" t="s">
        <v>36</v>
      </c>
      <c r="K35" s="5">
        <f>SUMPRODUCT($I$32:$I$34,K32:K34)</f>
        <v>19.200000000000003</v>
      </c>
      <c r="L35" s="5">
        <f t="shared" ref="L35:P35" si="6">SUMPRODUCT($I$32:$I$34,L32:L34)</f>
        <v>19.200000000000003</v>
      </c>
      <c r="M35" s="5">
        <f t="shared" si="6"/>
        <v>48</v>
      </c>
      <c r="N35" s="5">
        <f t="shared" si="6"/>
        <v>9.6000000000000014</v>
      </c>
      <c r="O35" s="5">
        <f t="shared" si="6"/>
        <v>0</v>
      </c>
      <c r="P35" s="5">
        <f t="shared" si="6"/>
        <v>0</v>
      </c>
      <c r="Q35" s="15">
        <f>SUMPRODUCT(I32:I34,Q32:Q34)</f>
        <v>384</v>
      </c>
    </row>
    <row r="36" spans="8:19" x14ac:dyDescent="0.3">
      <c r="J36" s="5" t="s">
        <v>37</v>
      </c>
      <c r="K36" s="5">
        <f>K30-K35</f>
        <v>12.799999999999997</v>
      </c>
      <c r="L36" s="5">
        <f t="shared" ref="L36:P36" si="7">L30-L35</f>
        <v>4.7999999999999972</v>
      </c>
      <c r="M36" s="5">
        <f t="shared" si="7"/>
        <v>0</v>
      </c>
      <c r="N36" s="5">
        <f t="shared" si="7"/>
        <v>-9.6000000000000014</v>
      </c>
      <c r="O36" s="5">
        <f t="shared" si="7"/>
        <v>0</v>
      </c>
      <c r="P36" s="5">
        <f t="shared" si="7"/>
        <v>0</v>
      </c>
    </row>
    <row r="37" spans="8:19" x14ac:dyDescent="0.3">
      <c r="K37" t="s">
        <v>40</v>
      </c>
    </row>
    <row r="39" spans="8:19" x14ac:dyDescent="0.3">
      <c r="I39" s="3" t="s">
        <v>46</v>
      </c>
      <c r="J39" s="3" t="s">
        <v>25</v>
      </c>
      <c r="K39" s="3">
        <v>32</v>
      </c>
      <c r="L39" s="22">
        <v>24</v>
      </c>
      <c r="M39" s="16">
        <v>48</v>
      </c>
      <c r="N39" s="3">
        <v>0</v>
      </c>
      <c r="O39" s="3">
        <v>0</v>
      </c>
      <c r="P39" s="3">
        <v>0</v>
      </c>
      <c r="Q39" s="1"/>
      <c r="R39" s="1"/>
    </row>
    <row r="40" spans="8:19" x14ac:dyDescent="0.3">
      <c r="I40" s="4" t="s">
        <v>26</v>
      </c>
      <c r="J40" s="4" t="s">
        <v>27</v>
      </c>
      <c r="K40" s="4" t="s">
        <v>28</v>
      </c>
      <c r="L40" s="23" t="s">
        <v>29</v>
      </c>
      <c r="M40" s="17" t="s">
        <v>30</v>
      </c>
      <c r="N40" s="4" t="s">
        <v>31</v>
      </c>
      <c r="O40" s="4" t="s">
        <v>32</v>
      </c>
      <c r="P40" s="4" t="s">
        <v>33</v>
      </c>
      <c r="Q40" s="3" t="s">
        <v>34</v>
      </c>
      <c r="R40" s="3" t="s">
        <v>35</v>
      </c>
    </row>
    <row r="41" spans="8:19" x14ac:dyDescent="0.3">
      <c r="I41" s="15">
        <v>48</v>
      </c>
      <c r="J41" s="15" t="s">
        <v>30</v>
      </c>
      <c r="K41" s="15">
        <f>K32-$K$32*K43</f>
        <v>0</v>
      </c>
      <c r="L41" s="6">
        <f t="shared" ref="L41:Q41" si="8">L32-$K$32*L43</f>
        <v>0.44444444444444453</v>
      </c>
      <c r="M41" s="15">
        <f t="shared" si="8"/>
        <v>1</v>
      </c>
      <c r="N41" s="15">
        <f t="shared" si="8"/>
        <v>0.33333333333333337</v>
      </c>
      <c r="O41" s="15">
        <f t="shared" si="8"/>
        <v>0</v>
      </c>
      <c r="P41" s="15">
        <f t="shared" si="8"/>
        <v>-0.22222222222222224</v>
      </c>
      <c r="Q41" s="15">
        <f t="shared" si="8"/>
        <v>6.6666666666666661</v>
      </c>
      <c r="R41" s="15">
        <f>Q41/L41</f>
        <v>14.999999999999996</v>
      </c>
    </row>
    <row r="42" spans="8:19" x14ac:dyDescent="0.3">
      <c r="I42" s="6">
        <v>0</v>
      </c>
      <c r="J42" s="6" t="s">
        <v>32</v>
      </c>
      <c r="K42" s="6">
        <f>K33-$K$33*K43</f>
        <v>0</v>
      </c>
      <c r="L42" s="12">
        <f t="shared" ref="L42:Q42" si="9">L33-$K$33*L43</f>
        <v>2.2222222222222223</v>
      </c>
      <c r="M42" s="6">
        <f t="shared" si="9"/>
        <v>0</v>
      </c>
      <c r="N42" s="6">
        <f t="shared" si="9"/>
        <v>-0.33333333333333337</v>
      </c>
      <c r="O42" s="6">
        <f t="shared" si="9"/>
        <v>1</v>
      </c>
      <c r="P42" s="6">
        <f t="shared" si="9"/>
        <v>-0.11111111111111109</v>
      </c>
      <c r="Q42" s="6">
        <f t="shared" si="9"/>
        <v>13.333333333333334</v>
      </c>
      <c r="R42" s="6">
        <f>Q42/L42</f>
        <v>6</v>
      </c>
      <c r="S42" s="2" t="s">
        <v>45</v>
      </c>
    </row>
    <row r="43" spans="8:19" x14ac:dyDescent="0.3">
      <c r="I43" s="5">
        <v>32</v>
      </c>
      <c r="J43" s="5" t="s">
        <v>28</v>
      </c>
      <c r="K43" s="21">
        <f>K34/$K$34</f>
        <v>1</v>
      </c>
      <c r="L43" s="24">
        <f t="shared" ref="L43:Q43" si="10">L34/$K$34</f>
        <v>-0.11111111111111122</v>
      </c>
      <c r="M43" s="21">
        <f t="shared" si="10"/>
        <v>0</v>
      </c>
      <c r="N43" s="21">
        <f t="shared" si="10"/>
        <v>-0.33333333333333343</v>
      </c>
      <c r="O43" s="21">
        <f t="shared" si="10"/>
        <v>0</v>
      </c>
      <c r="P43" s="21">
        <f t="shared" si="10"/>
        <v>0.55555555555555558</v>
      </c>
      <c r="Q43" s="21">
        <f t="shared" si="10"/>
        <v>3.3333333333333335</v>
      </c>
      <c r="R43" s="15">
        <f>Q43/L43</f>
        <v>-29.999999999999972</v>
      </c>
    </row>
    <row r="44" spans="8:19" x14ac:dyDescent="0.3">
      <c r="J44" s="5" t="s">
        <v>36</v>
      </c>
      <c r="K44" s="5">
        <f>SUMPRODUCT($I$41:$I$43,K41:K43)</f>
        <v>32</v>
      </c>
      <c r="L44" s="5">
        <f t="shared" ref="L44:Q44" si="11">SUMPRODUCT($I$41:$I$43,L41:L43)</f>
        <v>17.777777777777779</v>
      </c>
      <c r="M44" s="5">
        <f t="shared" si="11"/>
        <v>48</v>
      </c>
      <c r="N44" s="5">
        <f t="shared" si="11"/>
        <v>5.3333333333333304</v>
      </c>
      <c r="O44" s="5">
        <f t="shared" si="11"/>
        <v>0</v>
      </c>
      <c r="P44" s="5">
        <f t="shared" si="11"/>
        <v>7.1111111111111107</v>
      </c>
      <c r="Q44" s="5">
        <f t="shared" si="11"/>
        <v>426.66666666666669</v>
      </c>
    </row>
    <row r="45" spans="8:19" x14ac:dyDescent="0.3">
      <c r="J45" s="5" t="s">
        <v>37</v>
      </c>
      <c r="K45" s="5">
        <f>K39-K44</f>
        <v>0</v>
      </c>
      <c r="L45" s="5">
        <f t="shared" ref="L45" si="12">L39-L44</f>
        <v>6.2222222222222214</v>
      </c>
      <c r="M45" s="5">
        <f>M39-M44</f>
        <v>0</v>
      </c>
      <c r="N45" s="5">
        <f t="shared" ref="N45" si="13">N39-N44</f>
        <v>-5.3333333333333304</v>
      </c>
      <c r="O45" s="5">
        <f>O39-O44</f>
        <v>0</v>
      </c>
      <c r="P45" s="5">
        <f t="shared" ref="P45" si="14">P39-P44</f>
        <v>-7.1111111111111107</v>
      </c>
    </row>
    <row r="46" spans="8:19" x14ac:dyDescent="0.3">
      <c r="L46" t="s">
        <v>40</v>
      </c>
    </row>
    <row r="48" spans="8:19" x14ac:dyDescent="0.3">
      <c r="I48" s="3" t="s">
        <v>47</v>
      </c>
      <c r="J48" s="3" t="s">
        <v>25</v>
      </c>
      <c r="K48" s="3">
        <v>32</v>
      </c>
      <c r="L48" s="3">
        <v>24</v>
      </c>
      <c r="M48" s="16">
        <v>48</v>
      </c>
      <c r="N48" s="3">
        <v>0</v>
      </c>
      <c r="O48" s="3">
        <v>0</v>
      </c>
      <c r="P48" s="3">
        <v>0</v>
      </c>
      <c r="Q48" s="1"/>
      <c r="R48" s="1"/>
    </row>
    <row r="49" spans="8:18" x14ac:dyDescent="0.3">
      <c r="I49" s="4" t="s">
        <v>26</v>
      </c>
      <c r="J49" s="4" t="s">
        <v>27</v>
      </c>
      <c r="K49" s="4" t="s">
        <v>28</v>
      </c>
      <c r="L49" s="4" t="s">
        <v>29</v>
      </c>
      <c r="M49" s="17" t="s">
        <v>30</v>
      </c>
      <c r="N49" s="4" t="s">
        <v>31</v>
      </c>
      <c r="O49" s="4" t="s">
        <v>32</v>
      </c>
      <c r="P49" s="4" t="s">
        <v>33</v>
      </c>
      <c r="Q49" s="3" t="s">
        <v>34</v>
      </c>
      <c r="R49" s="3" t="s">
        <v>35</v>
      </c>
    </row>
    <row r="50" spans="8:18" x14ac:dyDescent="0.3">
      <c r="I50" s="15">
        <v>48</v>
      </c>
      <c r="J50" s="15" t="s">
        <v>30</v>
      </c>
      <c r="K50" s="15">
        <f>K41-$L$41*K51</f>
        <v>0</v>
      </c>
      <c r="L50" s="15">
        <f t="shared" ref="L50:Q50" si="15">L41-$L$41*L51</f>
        <v>0</v>
      </c>
      <c r="M50" s="15">
        <f t="shared" si="15"/>
        <v>1</v>
      </c>
      <c r="N50" s="15">
        <f t="shared" si="15"/>
        <v>0.40000000000000008</v>
      </c>
      <c r="O50" s="15">
        <f t="shared" si="15"/>
        <v>-0.2</v>
      </c>
      <c r="P50" s="15">
        <f t="shared" si="15"/>
        <v>-0.2</v>
      </c>
      <c r="Q50" s="15">
        <f t="shared" si="15"/>
        <v>3.9999999999999991</v>
      </c>
      <c r="R50" s="15"/>
    </row>
    <row r="51" spans="8:18" x14ac:dyDescent="0.3">
      <c r="H51" t="s">
        <v>43</v>
      </c>
      <c r="I51" s="5">
        <v>24</v>
      </c>
      <c r="J51" s="5" t="s">
        <v>29</v>
      </c>
      <c r="K51" s="5">
        <f>K42/$L$42</f>
        <v>0</v>
      </c>
      <c r="L51" s="5">
        <f t="shared" ref="L51:Q51" si="16">L42/$L$42</f>
        <v>1</v>
      </c>
      <c r="M51" s="5">
        <f t="shared" si="16"/>
        <v>0</v>
      </c>
      <c r="N51" s="5">
        <f t="shared" si="16"/>
        <v>-0.15000000000000002</v>
      </c>
      <c r="O51" s="5">
        <f t="shared" si="16"/>
        <v>0.44999999999999996</v>
      </c>
      <c r="P51" s="5">
        <f t="shared" si="16"/>
        <v>-4.9999999999999989E-2</v>
      </c>
      <c r="Q51" s="5">
        <f t="shared" si="16"/>
        <v>6</v>
      </c>
      <c r="R51" s="15"/>
    </row>
    <row r="52" spans="8:18" x14ac:dyDescent="0.3">
      <c r="I52" s="5">
        <v>32</v>
      </c>
      <c r="J52" s="5" t="s">
        <v>28</v>
      </c>
      <c r="K52" s="21">
        <f>K43-$L$43*K51</f>
        <v>1</v>
      </c>
      <c r="L52" s="21">
        <f t="shared" ref="L52:Q52" si="17">L43-$L$43*L51</f>
        <v>0</v>
      </c>
      <c r="M52" s="21">
        <f t="shared" si="17"/>
        <v>0</v>
      </c>
      <c r="N52" s="21">
        <f t="shared" si="17"/>
        <v>-0.35000000000000009</v>
      </c>
      <c r="O52" s="21">
        <f t="shared" si="17"/>
        <v>5.0000000000000044E-2</v>
      </c>
      <c r="P52" s="21">
        <f t="shared" si="17"/>
        <v>0.55000000000000004</v>
      </c>
      <c r="Q52" s="21">
        <f t="shared" si="17"/>
        <v>4.0000000000000009</v>
      </c>
      <c r="R52" s="15"/>
    </row>
    <row r="53" spans="8:18" x14ac:dyDescent="0.3">
      <c r="J53" s="5" t="s">
        <v>36</v>
      </c>
      <c r="K53" s="5">
        <f>SUMPRODUCT($I$50:$I$52,K50:K52)</f>
        <v>32</v>
      </c>
      <c r="L53" s="5">
        <f t="shared" ref="L53:Q53" si="18">SUMPRODUCT($I$50:$I$52,L50:L52)</f>
        <v>24</v>
      </c>
      <c r="M53" s="5">
        <f t="shared" si="18"/>
        <v>48</v>
      </c>
      <c r="N53" s="5">
        <f t="shared" si="18"/>
        <v>4.3999999999999986</v>
      </c>
      <c r="O53" s="5">
        <f t="shared" si="18"/>
        <v>2.7999999999999989</v>
      </c>
      <c r="P53" s="5">
        <f t="shared" si="18"/>
        <v>6.8000000000000007</v>
      </c>
      <c r="Q53" s="5">
        <f t="shared" si="18"/>
        <v>464</v>
      </c>
    </row>
    <row r="54" spans="8:18" x14ac:dyDescent="0.3">
      <c r="J54" s="5" t="s">
        <v>37</v>
      </c>
      <c r="K54" s="5">
        <f>K53-K48</f>
        <v>0</v>
      </c>
      <c r="L54" s="5">
        <f t="shared" ref="L54:P54" si="19">L53-L48</f>
        <v>0</v>
      </c>
      <c r="M54" s="5">
        <f t="shared" si="19"/>
        <v>0</v>
      </c>
      <c r="N54" s="5">
        <f t="shared" si="19"/>
        <v>4.3999999999999986</v>
      </c>
      <c r="O54" s="5">
        <f t="shared" si="19"/>
        <v>2.7999999999999989</v>
      </c>
      <c r="P54" s="5">
        <f t="shared" si="19"/>
        <v>6.8000000000000007</v>
      </c>
    </row>
    <row r="56" spans="8:18" x14ac:dyDescent="0.3">
      <c r="J56" t="s">
        <v>30</v>
      </c>
      <c r="K56">
        <v>4</v>
      </c>
      <c r="L56" t="s">
        <v>49</v>
      </c>
    </row>
    <row r="57" spans="8:18" x14ac:dyDescent="0.3">
      <c r="J57" t="s">
        <v>29</v>
      </c>
      <c r="K57">
        <v>6</v>
      </c>
      <c r="L57" t="s">
        <v>50</v>
      </c>
    </row>
    <row r="58" spans="8:18" x14ac:dyDescent="0.3">
      <c r="J58" t="s">
        <v>28</v>
      </c>
      <c r="K58">
        <v>4</v>
      </c>
      <c r="L58" t="s">
        <v>51</v>
      </c>
    </row>
    <row r="59" spans="8:18" x14ac:dyDescent="0.3">
      <c r="J59" t="s">
        <v>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034F-BBAF-427E-B21C-1AD12116A237}">
  <dimension ref="A10:Q41"/>
  <sheetViews>
    <sheetView tabSelected="1" topLeftCell="A17" workbookViewId="0">
      <selection activeCell="L43" sqref="L43"/>
    </sheetView>
  </sheetViews>
  <sheetFormatPr defaultRowHeight="14.4" x14ac:dyDescent="0.3"/>
  <sheetData>
    <row r="10" spans="1:16" x14ac:dyDescent="0.3">
      <c r="A10" t="s">
        <v>52</v>
      </c>
      <c r="F10" t="s">
        <v>24</v>
      </c>
      <c r="G10" t="s">
        <v>25</v>
      </c>
      <c r="H10">
        <v>60</v>
      </c>
      <c r="I10">
        <v>30</v>
      </c>
      <c r="J10">
        <v>20</v>
      </c>
      <c r="K10">
        <v>0</v>
      </c>
      <c r="L10">
        <v>0</v>
      </c>
      <c r="M10">
        <v>0</v>
      </c>
    </row>
    <row r="11" spans="1:16" x14ac:dyDescent="0.3">
      <c r="A11" t="s">
        <v>53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57</v>
      </c>
      <c r="O11" t="s">
        <v>58</v>
      </c>
    </row>
    <row r="12" spans="1:16" x14ac:dyDescent="0.3">
      <c r="A12" t="s">
        <v>54</v>
      </c>
      <c r="F12">
        <v>0</v>
      </c>
      <c r="G12" t="s">
        <v>31</v>
      </c>
      <c r="H12" s="2">
        <v>8</v>
      </c>
      <c r="I12">
        <v>6</v>
      </c>
      <c r="J12">
        <v>1</v>
      </c>
      <c r="K12">
        <v>1</v>
      </c>
      <c r="L12">
        <v>0</v>
      </c>
      <c r="M12">
        <v>0</v>
      </c>
      <c r="N12">
        <v>960</v>
      </c>
      <c r="O12">
        <f>N12/H12</f>
        <v>120</v>
      </c>
    </row>
    <row r="13" spans="1:16" x14ac:dyDescent="0.3">
      <c r="A13" t="s">
        <v>55</v>
      </c>
      <c r="F13">
        <v>0</v>
      </c>
      <c r="G13" t="s">
        <v>32</v>
      </c>
      <c r="H13" s="2">
        <v>8</v>
      </c>
      <c r="I13">
        <v>4</v>
      </c>
      <c r="J13">
        <v>3</v>
      </c>
      <c r="K13">
        <v>0</v>
      </c>
      <c r="L13">
        <v>1</v>
      </c>
      <c r="M13">
        <v>0</v>
      </c>
      <c r="N13">
        <v>800</v>
      </c>
      <c r="O13">
        <f t="shared" ref="O13:O14" si="0">N13/H13</f>
        <v>100</v>
      </c>
    </row>
    <row r="14" spans="1:16" x14ac:dyDescent="0.3">
      <c r="A14" t="s">
        <v>56</v>
      </c>
      <c r="F14" s="25">
        <v>0</v>
      </c>
      <c r="G14" s="25" t="s">
        <v>33</v>
      </c>
      <c r="H14" s="26">
        <v>4</v>
      </c>
      <c r="I14" s="25">
        <v>3</v>
      </c>
      <c r="J14" s="25">
        <v>1</v>
      </c>
      <c r="K14" s="25">
        <v>0</v>
      </c>
      <c r="L14" s="25">
        <v>0</v>
      </c>
      <c r="M14" s="25">
        <v>1</v>
      </c>
      <c r="N14" s="25">
        <v>320</v>
      </c>
      <c r="O14" s="25">
        <f t="shared" si="0"/>
        <v>80</v>
      </c>
      <c r="P14" t="s">
        <v>45</v>
      </c>
    </row>
    <row r="15" spans="1:16" x14ac:dyDescent="0.3">
      <c r="A15" t="s">
        <v>21</v>
      </c>
      <c r="G15" t="s">
        <v>36</v>
      </c>
      <c r="H15" s="2">
        <f>SUMPRODUCT($F$12:$F$14,H12:H14)</f>
        <v>0</v>
      </c>
      <c r="I15">
        <f t="shared" ref="I15:N15" si="1">SUMPRODUCT($F$12:$F$14,I12:I14)</f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</row>
    <row r="16" spans="1:16" x14ac:dyDescent="0.3">
      <c r="G16" t="s">
        <v>59</v>
      </c>
      <c r="H16" s="2">
        <f>H10-H15</f>
        <v>60</v>
      </c>
      <c r="I16">
        <f t="shared" ref="I16:M16" si="2">I10-I15</f>
        <v>30</v>
      </c>
      <c r="J16">
        <f t="shared" si="2"/>
        <v>20</v>
      </c>
      <c r="K16">
        <f t="shared" si="2"/>
        <v>0</v>
      </c>
      <c r="L16">
        <f t="shared" si="2"/>
        <v>0</v>
      </c>
      <c r="M16">
        <f t="shared" si="2"/>
        <v>0</v>
      </c>
    </row>
    <row r="17" spans="6:16" x14ac:dyDescent="0.3">
      <c r="H17" t="s">
        <v>40</v>
      </c>
    </row>
    <row r="20" spans="6:16" x14ac:dyDescent="0.3">
      <c r="F20" t="s">
        <v>42</v>
      </c>
      <c r="G20" t="s">
        <v>25</v>
      </c>
      <c r="H20">
        <v>60</v>
      </c>
      <c r="I20">
        <v>30</v>
      </c>
      <c r="J20" s="2">
        <v>20</v>
      </c>
      <c r="K20">
        <v>0</v>
      </c>
      <c r="L20">
        <v>0</v>
      </c>
      <c r="M20">
        <v>0</v>
      </c>
    </row>
    <row r="21" spans="6:16" x14ac:dyDescent="0.3">
      <c r="F21" t="s">
        <v>26</v>
      </c>
      <c r="G21" t="s">
        <v>27</v>
      </c>
      <c r="H21" t="s">
        <v>28</v>
      </c>
      <c r="I21" t="s">
        <v>29</v>
      </c>
      <c r="J21" s="2" t="s">
        <v>30</v>
      </c>
      <c r="K21" t="s">
        <v>31</v>
      </c>
      <c r="L21" t="s">
        <v>32</v>
      </c>
      <c r="M21" t="s">
        <v>33</v>
      </c>
      <c r="N21" t="s">
        <v>57</v>
      </c>
      <c r="O21" t="s">
        <v>58</v>
      </c>
    </row>
    <row r="22" spans="6:16" x14ac:dyDescent="0.3">
      <c r="F22">
        <v>0</v>
      </c>
      <c r="G22" t="s">
        <v>31</v>
      </c>
      <c r="H22" s="28">
        <f>H12-$H$12*H24</f>
        <v>0</v>
      </c>
      <c r="I22" s="28">
        <f t="shared" ref="I22:N22" si="3">I12-$H$12*I24</f>
        <v>0</v>
      </c>
      <c r="J22" s="25">
        <f t="shared" si="3"/>
        <v>-1</v>
      </c>
      <c r="K22" s="28">
        <f t="shared" si="3"/>
        <v>1</v>
      </c>
      <c r="L22" s="28">
        <f t="shared" si="3"/>
        <v>0</v>
      </c>
      <c r="M22" s="28">
        <f t="shared" si="3"/>
        <v>-2</v>
      </c>
      <c r="N22" s="28">
        <f t="shared" si="3"/>
        <v>320</v>
      </c>
      <c r="O22" s="28">
        <f>N22/J22</f>
        <v>-320</v>
      </c>
    </row>
    <row r="23" spans="6:16" x14ac:dyDescent="0.3">
      <c r="F23" s="2">
        <v>0</v>
      </c>
      <c r="G23" s="2" t="s">
        <v>32</v>
      </c>
      <c r="H23" s="25">
        <f>H13-$H$13*H24</f>
        <v>0</v>
      </c>
      <c r="I23" s="25">
        <f t="shared" ref="I23:N23" si="4">I13-$H$13*I24</f>
        <v>-2</v>
      </c>
      <c r="J23" s="26">
        <f t="shared" si="4"/>
        <v>1</v>
      </c>
      <c r="K23" s="25">
        <f t="shared" si="4"/>
        <v>0</v>
      </c>
      <c r="L23" s="25">
        <f t="shared" si="4"/>
        <v>1</v>
      </c>
      <c r="M23" s="25">
        <f t="shared" si="4"/>
        <v>-2</v>
      </c>
      <c r="N23" s="25">
        <f t="shared" si="4"/>
        <v>160</v>
      </c>
      <c r="O23" s="25">
        <f>N23/J23</f>
        <v>160</v>
      </c>
      <c r="P23" s="2" t="s">
        <v>45</v>
      </c>
    </row>
    <row r="24" spans="6:16" x14ac:dyDescent="0.3">
      <c r="F24" s="28">
        <v>60</v>
      </c>
      <c r="G24" s="28" t="s">
        <v>28</v>
      </c>
      <c r="H24" s="28">
        <f>H14/$H$14</f>
        <v>1</v>
      </c>
      <c r="I24" s="28">
        <f t="shared" ref="I24:N24" si="5">I14/$H$14</f>
        <v>0.75</v>
      </c>
      <c r="J24" s="25">
        <f t="shared" si="5"/>
        <v>0.25</v>
      </c>
      <c r="K24" s="28">
        <f t="shared" si="5"/>
        <v>0</v>
      </c>
      <c r="L24" s="28">
        <f t="shared" si="5"/>
        <v>0</v>
      </c>
      <c r="M24" s="28">
        <f t="shared" si="5"/>
        <v>0.25</v>
      </c>
      <c r="N24" s="28">
        <f t="shared" si="5"/>
        <v>80</v>
      </c>
      <c r="O24" s="28">
        <f>N24/J24</f>
        <v>320</v>
      </c>
    </row>
    <row r="25" spans="6:16" x14ac:dyDescent="0.3">
      <c r="G25" t="s">
        <v>36</v>
      </c>
      <c r="H25" s="28">
        <f>SUMPRODUCT($F$22:$F$24,H22:H24)</f>
        <v>60</v>
      </c>
      <c r="I25" s="28">
        <f>SUMPRODUCT($F$22:$F$24,I22:I24)</f>
        <v>45</v>
      </c>
      <c r="J25" s="25">
        <f t="shared" ref="I25:N25" si="6">SUMPRODUCT($F$22:$F$24,J22:J24)</f>
        <v>15</v>
      </c>
      <c r="K25" s="28">
        <f t="shared" si="6"/>
        <v>0</v>
      </c>
      <c r="L25" s="28">
        <f t="shared" si="6"/>
        <v>0</v>
      </c>
      <c r="M25" s="28">
        <f t="shared" si="6"/>
        <v>15</v>
      </c>
      <c r="N25" s="28">
        <f t="shared" si="6"/>
        <v>4800</v>
      </c>
    </row>
    <row r="26" spans="6:16" x14ac:dyDescent="0.3">
      <c r="G26" t="s">
        <v>59</v>
      </c>
      <c r="H26" s="28">
        <f>H20-H25</f>
        <v>0</v>
      </c>
      <c r="I26" s="28">
        <f t="shared" ref="I26:M26" si="7">I20-I25</f>
        <v>-15</v>
      </c>
      <c r="J26" s="25">
        <f t="shared" si="7"/>
        <v>5</v>
      </c>
      <c r="K26" s="28">
        <f t="shared" si="7"/>
        <v>0</v>
      </c>
      <c r="L26" s="28">
        <f t="shared" si="7"/>
        <v>0</v>
      </c>
      <c r="M26" s="28">
        <f t="shared" si="7"/>
        <v>-15</v>
      </c>
    </row>
    <row r="27" spans="6:16" x14ac:dyDescent="0.3">
      <c r="J27" t="s">
        <v>40</v>
      </c>
    </row>
    <row r="30" spans="6:16" x14ac:dyDescent="0.3">
      <c r="F30" t="s">
        <v>46</v>
      </c>
      <c r="G30" t="s">
        <v>25</v>
      </c>
      <c r="H30">
        <v>60</v>
      </c>
      <c r="I30">
        <v>30</v>
      </c>
      <c r="J30" s="27">
        <v>20</v>
      </c>
      <c r="K30">
        <v>0</v>
      </c>
      <c r="L30">
        <v>0</v>
      </c>
      <c r="M30">
        <v>0</v>
      </c>
    </row>
    <row r="31" spans="6:16" x14ac:dyDescent="0.3">
      <c r="F31" t="s">
        <v>26</v>
      </c>
      <c r="G31" t="s">
        <v>27</v>
      </c>
      <c r="H31" t="s">
        <v>28</v>
      </c>
      <c r="I31" t="s">
        <v>29</v>
      </c>
      <c r="J31" s="27" t="s">
        <v>30</v>
      </c>
      <c r="K31" t="s">
        <v>31</v>
      </c>
      <c r="L31" t="s">
        <v>32</v>
      </c>
      <c r="M31" t="s">
        <v>33</v>
      </c>
      <c r="N31" t="s">
        <v>57</v>
      </c>
      <c r="O31" t="s">
        <v>58</v>
      </c>
    </row>
    <row r="32" spans="6:16" x14ac:dyDescent="0.3">
      <c r="F32">
        <v>0</v>
      </c>
      <c r="G32" t="s">
        <v>31</v>
      </c>
      <c r="H32" s="28">
        <f>H22-$J$22*H33</f>
        <v>0</v>
      </c>
      <c r="I32" s="28">
        <f t="shared" ref="I32:N32" si="8">I22-$J$22*I33</f>
        <v>-2</v>
      </c>
      <c r="J32" s="28">
        <f t="shared" si="8"/>
        <v>0</v>
      </c>
      <c r="K32" s="28">
        <f t="shared" si="8"/>
        <v>1</v>
      </c>
      <c r="L32" s="28">
        <f t="shared" si="8"/>
        <v>1</v>
      </c>
      <c r="M32" s="28">
        <f t="shared" si="8"/>
        <v>-4</v>
      </c>
      <c r="N32" s="28">
        <f t="shared" si="8"/>
        <v>480</v>
      </c>
      <c r="O32" s="28"/>
    </row>
    <row r="33" spans="6:17" x14ac:dyDescent="0.3">
      <c r="F33" s="27">
        <v>20</v>
      </c>
      <c r="G33" s="27" t="s">
        <v>30</v>
      </c>
      <c r="H33" s="28">
        <f>H23/$J$23</f>
        <v>0</v>
      </c>
      <c r="I33" s="28">
        <f t="shared" ref="I33:N33" si="9">I23/$J$23</f>
        <v>-2</v>
      </c>
      <c r="J33" s="28">
        <f t="shared" si="9"/>
        <v>1</v>
      </c>
      <c r="K33" s="28">
        <f t="shared" si="9"/>
        <v>0</v>
      </c>
      <c r="L33" s="28">
        <f t="shared" si="9"/>
        <v>1</v>
      </c>
      <c r="M33" s="28">
        <f t="shared" si="9"/>
        <v>-2</v>
      </c>
      <c r="N33" s="28">
        <f t="shared" si="9"/>
        <v>160</v>
      </c>
      <c r="O33" s="28"/>
      <c r="P33" s="27"/>
      <c r="Q33" s="27"/>
    </row>
    <row r="34" spans="6:17" x14ac:dyDescent="0.3">
      <c r="F34" s="28">
        <v>60</v>
      </c>
      <c r="G34" s="28" t="s">
        <v>28</v>
      </c>
      <c r="H34" s="28">
        <f>H24-$J$24*H33</f>
        <v>1</v>
      </c>
      <c r="I34" s="28">
        <f t="shared" ref="I34:N34" si="10">I24-$J$24*I33</f>
        <v>1.25</v>
      </c>
      <c r="J34" s="28">
        <f t="shared" si="10"/>
        <v>0</v>
      </c>
      <c r="K34" s="28">
        <f t="shared" si="10"/>
        <v>0</v>
      </c>
      <c r="L34" s="28">
        <f t="shared" si="10"/>
        <v>-0.25</v>
      </c>
      <c r="M34" s="28">
        <f t="shared" si="10"/>
        <v>0.75</v>
      </c>
      <c r="N34" s="28">
        <f t="shared" si="10"/>
        <v>40</v>
      </c>
      <c r="O34" s="28"/>
    </row>
    <row r="35" spans="6:17" x14ac:dyDescent="0.3">
      <c r="G35" t="s">
        <v>36</v>
      </c>
      <c r="H35" s="28">
        <f>SUMPRODUCT($F$32:$F$34,H32:H34)</f>
        <v>60</v>
      </c>
      <c r="I35" s="28">
        <f t="shared" ref="I35:N35" si="11">SUMPRODUCT($F$32:$F$34,I32:I34)</f>
        <v>35</v>
      </c>
      <c r="J35" s="28">
        <f t="shared" si="11"/>
        <v>20</v>
      </c>
      <c r="K35" s="28">
        <f t="shared" si="11"/>
        <v>0</v>
      </c>
      <c r="L35" s="28">
        <f t="shared" si="11"/>
        <v>5</v>
      </c>
      <c r="M35" s="28">
        <f t="shared" si="11"/>
        <v>5</v>
      </c>
      <c r="N35" s="28">
        <f t="shared" si="11"/>
        <v>5600</v>
      </c>
    </row>
    <row r="36" spans="6:17" x14ac:dyDescent="0.3">
      <c r="G36" t="s">
        <v>59</v>
      </c>
      <c r="H36" s="28">
        <f>H30-H35</f>
        <v>0</v>
      </c>
      <c r="I36" s="28">
        <f t="shared" ref="I36:M36" si="12">I30-I35</f>
        <v>-5</v>
      </c>
      <c r="J36" s="28">
        <f t="shared" si="12"/>
        <v>0</v>
      </c>
      <c r="K36" s="28">
        <f t="shared" si="12"/>
        <v>0</v>
      </c>
      <c r="L36" s="28">
        <f t="shared" si="12"/>
        <v>-5</v>
      </c>
      <c r="M36" s="28">
        <f t="shared" si="12"/>
        <v>-5</v>
      </c>
    </row>
    <row r="38" spans="6:17" x14ac:dyDescent="0.3">
      <c r="G38" s="18" t="s">
        <v>28</v>
      </c>
      <c r="H38" s="18">
        <v>40</v>
      </c>
      <c r="I38" s="18" t="s">
        <v>31</v>
      </c>
      <c r="J38" s="18">
        <v>480</v>
      </c>
      <c r="K38" t="s">
        <v>61</v>
      </c>
    </row>
    <row r="39" spans="6:17" x14ac:dyDescent="0.3">
      <c r="G39" s="18" t="s">
        <v>29</v>
      </c>
      <c r="H39" s="18">
        <v>0</v>
      </c>
      <c r="I39" t="s">
        <v>32</v>
      </c>
      <c r="J39">
        <v>0</v>
      </c>
    </row>
    <row r="40" spans="6:17" x14ac:dyDescent="0.3">
      <c r="G40" s="18" t="s">
        <v>30</v>
      </c>
      <c r="H40" s="18">
        <v>160</v>
      </c>
      <c r="I40" t="s">
        <v>33</v>
      </c>
      <c r="J40">
        <v>0</v>
      </c>
    </row>
    <row r="41" spans="6:17" x14ac:dyDescent="0.3">
      <c r="G41" s="18" t="s">
        <v>60</v>
      </c>
      <c r="H41" s="18">
        <v>5600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zadanie1</vt:lpstr>
      <vt:lpstr>zadanie2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prac608</dc:creator>
  <cp:lastModifiedBy>prac608</cp:lastModifiedBy>
  <dcterms:created xsi:type="dcterms:W3CDTF">2026-04-13T06:06:39Z</dcterms:created>
  <dcterms:modified xsi:type="dcterms:W3CDTF">2026-04-13T07:27:26Z</dcterms:modified>
</cp:coreProperties>
</file>